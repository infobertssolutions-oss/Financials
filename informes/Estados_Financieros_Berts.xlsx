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lance" sheetId="2" state="visible" r:id="rId4"/>
    <sheet name="PyG" sheetId="3" state="visible" r:id="rId5"/>
    <sheet name="Vehículos" sheetId="4" state="visible" r:id="rId6"/>
    <sheet name="IVA" sheetId="5" state="visible" r:id="rId7"/>
    <sheet name="Pendiente" sheetId="6" state="visible" r:id="rId8"/>
    <sheet name="Diario" sheetId="7" state="visible" r:id="rId9"/>
    <sheet name="Sumas y saldos" sheetId="8" state="visible" r:id="rId10"/>
    <sheet name="Plan de cuentas" sheetId="9" state="visible" r:id="rId11"/>
  </sheets>
  <definedNames>
    <definedName function="false" hidden="true" localSheetId="6" name="_xlnm._FilterDatabase" vbProcedure="false">Diario!$A$1:$M$229</definedName>
    <definedName function="false" hidden="false" name="FechaComparativa" vbProcedure="false">Resumen!$C$5</definedName>
    <definedName function="false" hidden="false" name="FechaCorte" vbProcedure="false">Resumen!$C$4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Fuente: Cuenta de PyG 2025 presentada por Fisama (documentos/cuentas_anuales/). Amortización 0 porque Fisama no amortizó.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8" authorId="0">
      <text>
        <r>
          <rPr>
            <sz val="10"/>
            <rFont val="Arial"/>
            <family val="2"/>
          </rPr>
          <t xml:space="preserve">No se amortiza: todavía no está en condiciones de uso.</t>
        </r>
      </text>
    </comment>
    <comment ref="G9" authorId="0">
      <text>
        <r>
          <rPr>
            <sz val="10"/>
            <rFont val="Arial"/>
            <family val="2"/>
          </rPr>
          <t xml:space="preserve">No se amortiza: todavía no está en condiciones de uso.</t>
        </r>
      </text>
    </comment>
  </commentList>
</comments>
</file>

<file path=xl/sharedStrings.xml><?xml version="1.0" encoding="utf-8"?>
<sst xmlns="http://schemas.openxmlformats.org/spreadsheetml/2006/main" count="2022" uniqueCount="593">
  <si>
    <t xml:space="preserve">Estados financieros - Berts Solutions SL</t>
  </si>
  <si>
    <t xml:space="preserve">Generado el 22/09/2026 con scripts/generar_informes.py a partir de /datos/. No se edita a mano: se vuelve a generar con cada actualización.</t>
  </si>
  <si>
    <t xml:space="preserve">Fecha de corte del balance</t>
  </si>
  <si>
    <t xml:space="preserve">Puedes poner una fecha ANTERIOR para ver el balance a ese día. Para una fecha posterior, vuelve a generar el informe (la amortización se calcula hasta la fecha de generación).</t>
  </si>
  <si>
    <t xml:space="preserve">Fecha comparativa (último cierre)</t>
  </si>
  <si>
    <t xml:space="preserve">Cifras clave a la fecha de corte</t>
  </si>
  <si>
    <t xml:space="preserve">Importe (€)</t>
  </si>
  <si>
    <t xml:space="preserve">Qué significa</t>
  </si>
  <si>
    <t xml:space="preserve">Total activo (lo que tiene la empresa)</t>
  </si>
  <si>
    <t xml:space="preserve">Vehículos (neto de amortización) + dinero + lo que le deben.</t>
  </si>
  <si>
    <t xml:space="preserve">Tesorería según contabilidad</t>
  </si>
  <si>
    <t xml:space="preserve">Debería coincidir con el extracto del BBVA. Sin extractos no está comprobado.</t>
  </si>
  <si>
    <t xml:space="preserve">Vehículos (valor neto contable)</t>
  </si>
  <si>
    <t xml:space="preserve">Coste de los vehículos menos la amortización acumulada.</t>
  </si>
  <si>
    <t xml:space="preserve">Clientes pendientes de cobro</t>
  </si>
  <si>
    <t xml:space="preserve">Facturas emitidas que no nos consta que se hayan cobrado.</t>
  </si>
  <si>
    <t xml:space="preserve">Patrimonio neto (lo que es de los socios)</t>
  </si>
  <si>
    <t xml:space="preserve">Capital + aportaciones + resultados acumulados.</t>
  </si>
  <si>
    <t xml:space="preserve">Partidas pendientes de aplicación (cuenta 555)</t>
  </si>
  <si>
    <t xml:space="preserve">Pagos cuyo origen desconocemos. Tiene que llegar a 0 cuando tengamos los extractos.</t>
  </si>
  <si>
    <t xml:space="preserve">Ingresos por alquiler del ejercicio</t>
  </si>
  <si>
    <t xml:space="preserve">Cifra de negocios acumulada.</t>
  </si>
  <si>
    <t xml:space="preserve">Resultado del ejercicio (beneficio / pérdida)</t>
  </si>
  <si>
    <t xml:space="preserve">Ingresos menos todos los gastos, incluida la amortización y la pérdida del Ford Fiesta.</t>
  </si>
  <si>
    <t xml:space="preserve">Controles de cuadre</t>
  </si>
  <si>
    <t xml:space="preserve">Diferencia (€)</t>
  </si>
  <si>
    <t xml:space="preserve">Estado</t>
  </si>
  <si>
    <t xml:space="preserve">Activo = Patrimonio neto + Pasivo</t>
  </si>
  <si>
    <t xml:space="preserve">Libro diario: Debe = Haber</t>
  </si>
  <si>
    <t xml:space="preserve">Resultado de la PyG = Resultado del balance</t>
  </si>
  <si>
    <t xml:space="preserve">Balance 31/12/2025 = el de Fisama (75.318,61 €)</t>
  </si>
  <si>
    <t xml:space="preserve">Hojas de este libro</t>
  </si>
  <si>
    <t xml:space="preserve">Balance</t>
  </si>
  <si>
    <t xml:space="preserve">Balance de situación (modelo PGC Pymes) a 31/12/2025 y a la fecha de corte.</t>
  </si>
  <si>
    <t xml:space="preserve">PyG</t>
  </si>
  <si>
    <t xml:space="preserve">Cuenta de pérdidas y ganancias por trimestres + detalle por cuenta.</t>
  </si>
  <si>
    <t xml:space="preserve">Vehículos</t>
  </si>
  <si>
    <t xml:space="preserve">Coste, amortización, valor neto y resultado de cada vehículo.</t>
  </si>
  <si>
    <t xml:space="preserve">IVA</t>
  </si>
  <si>
    <t xml:space="preserve">IVA repercutido y soportado por trimestre, para contrastar con el modelo 303.</t>
  </si>
  <si>
    <t xml:space="preserve">Pendiente</t>
  </si>
  <si>
    <t xml:space="preserve">19 avisos: información que falta o no cuadra.</t>
  </si>
  <si>
    <t xml:space="preserve">Diario</t>
  </si>
  <si>
    <t xml:space="preserve">Libro diario: todos los asientos. Todo lo demás sale de aquí.</t>
  </si>
  <si>
    <t xml:space="preserve">Sumas y saldos</t>
  </si>
  <si>
    <t xml:space="preserve">Saldo de cada cuenta contable.</t>
  </si>
  <si>
    <t xml:space="preserve">Plan de cuentas</t>
  </si>
  <si>
    <t xml:space="preserve">Qué cuenta va a qué línea del balance y de la PyG.</t>
  </si>
  <si>
    <t xml:space="preserve">Leyenda de colores</t>
  </si>
  <si>
    <t xml:space="preserve">Azul: dato introducido (fecha de corte, cifras de Fisama, precios de compra).</t>
  </si>
  <si>
    <t xml:space="preserve">Negro: fórmula calculada a partir del Diario.</t>
  </si>
  <si>
    <t xml:space="preserve">Verde: enlace a otra hoja de este libro.</t>
  </si>
  <si>
    <t xml:space="preserve">Fondo amarillo: celda que puedes cambiar.</t>
  </si>
  <si>
    <t xml:space="preserve">Balance de Situación - Berts Solutions SL (CIF B23928419)</t>
  </si>
  <si>
    <t xml:space="preserve">Modelo PGC Pymes. Todas las cifras salen del Diario con fórmulas. La columna del 31/12/2025 reproduce el balance presentado por Fisama.</t>
  </si>
  <si>
    <t xml:space="preserve">ACTIVO</t>
  </si>
  <si>
    <t xml:space="preserve">A</t>
  </si>
  <si>
    <t xml:space="preserve">A) ACTIVO NO CORRIENTE</t>
  </si>
  <si>
    <t xml:space="preserve">AI</t>
  </si>
  <si>
    <t xml:space="preserve">I. Inmovilizado intangible</t>
  </si>
  <si>
    <t xml:space="preserve">AII</t>
  </si>
  <si>
    <t xml:space="preserve">II. Inmovilizado material</t>
  </si>
  <si>
    <t xml:space="preserve">AII1</t>
  </si>
  <si>
    <t xml:space="preserve">Elementos de transporte (vehículos)</t>
  </si>
  <si>
    <t xml:space="preserve">AII2</t>
  </si>
  <si>
    <t xml:space="preserve">Otro inmovilizado material</t>
  </si>
  <si>
    <t xml:space="preserve">AII3</t>
  </si>
  <si>
    <t xml:space="preserve">Amortización acumulada</t>
  </si>
  <si>
    <t xml:space="preserve">AV</t>
  </si>
  <si>
    <t xml:space="preserve">V. Inversiones financieras a largo plazo</t>
  </si>
  <si>
    <t xml:space="preserve">B</t>
  </si>
  <si>
    <t xml:space="preserve">B) ACTIVO CORRIENTE</t>
  </si>
  <si>
    <t xml:space="preserve">BII</t>
  </si>
  <si>
    <t xml:space="preserve">II. Existencias</t>
  </si>
  <si>
    <t xml:space="preserve">BIII</t>
  </si>
  <si>
    <t xml:space="preserve">III. Deudores comerciales y otras cuentas a cobrar</t>
  </si>
  <si>
    <t xml:space="preserve">BIII1</t>
  </si>
  <si>
    <t xml:space="preserve">1. Clientes por ventas y prestaciones de servicios</t>
  </si>
  <si>
    <t xml:space="preserve">BIII2</t>
  </si>
  <si>
    <t xml:space="preserve">2. Hacienda Pública deudora (IVA soportado / a compensar)</t>
  </si>
  <si>
    <t xml:space="preserve">BIII3</t>
  </si>
  <si>
    <t xml:space="preserve">3. Socios deudores</t>
  </si>
  <si>
    <t xml:space="preserve">BIII4</t>
  </si>
  <si>
    <t xml:space="preserve">4. Partidas pendientes de aplicación (saldo deudor)</t>
  </si>
  <si>
    <t xml:space="preserve">BVI</t>
  </si>
  <si>
    <t xml:space="preserve">VI. Periodificaciones a corto plazo</t>
  </si>
  <si>
    <t xml:space="preserve">BVII</t>
  </si>
  <si>
    <t xml:space="preserve">VII. Efectivo y otros activos líquidos equivalentes</t>
  </si>
  <si>
    <t xml:space="preserve">TA</t>
  </si>
  <si>
    <t xml:space="preserve">TOTAL ACTIVO (A + B)</t>
  </si>
  <si>
    <t xml:space="preserve">PATRIMONIO NETO Y PASIVO</t>
  </si>
  <si>
    <t xml:space="preserve">PA</t>
  </si>
  <si>
    <t xml:space="preserve">A) PATRIMONIO NETO</t>
  </si>
  <si>
    <t xml:space="preserve">PAI</t>
  </si>
  <si>
    <t xml:space="preserve">I. Capital</t>
  </si>
  <si>
    <t xml:space="preserve">PAIII</t>
  </si>
  <si>
    <t xml:space="preserve">III. Reservas</t>
  </si>
  <si>
    <t xml:space="preserve">PAV</t>
  </si>
  <si>
    <t xml:space="preserve">V. Resultados de ejercicios anteriores</t>
  </si>
  <si>
    <t xml:space="preserve">PAVI</t>
  </si>
  <si>
    <t xml:space="preserve">VI. Otras aportaciones de socios</t>
  </si>
  <si>
    <t xml:space="preserve">PAVII</t>
  </si>
  <si>
    <t xml:space="preserve">VII. Resultado del ejercicio</t>
  </si>
  <si>
    <t xml:space="preserve">PB</t>
  </si>
  <si>
    <t xml:space="preserve">B) PASIVO NO CORRIENTE</t>
  </si>
  <si>
    <t xml:space="preserve">PBII</t>
  </si>
  <si>
    <t xml:space="preserve">II. Deudas a largo plazo (bancos, préstamos de socios)</t>
  </si>
  <si>
    <t xml:space="preserve">PC</t>
  </si>
  <si>
    <t xml:space="preserve">C) PASIVO CORRIENTE</t>
  </si>
  <si>
    <t xml:space="preserve">PCIII</t>
  </si>
  <si>
    <t xml:space="preserve">III. Deudas a corto plazo</t>
  </si>
  <si>
    <t xml:space="preserve">PCIII1</t>
  </si>
  <si>
    <t xml:space="preserve">1. Deudas con entidades de crédito</t>
  </si>
  <si>
    <t xml:space="preserve">PCIII2</t>
  </si>
  <si>
    <t xml:space="preserve">2. Deudas con socios</t>
  </si>
  <si>
    <t xml:space="preserve">PCIII3</t>
  </si>
  <si>
    <t xml:space="preserve">3. Partidas pendientes de aplicación (saldo acreedor)</t>
  </si>
  <si>
    <t xml:space="preserve">PCV</t>
  </si>
  <si>
    <t xml:space="preserve">V. Acreedores comerciales y otras cuentas a pagar</t>
  </si>
  <si>
    <t xml:space="preserve">PCV1</t>
  </si>
  <si>
    <t xml:space="preserve">1. Proveedores y acreedores</t>
  </si>
  <si>
    <t xml:space="preserve">PCV2</t>
  </si>
  <si>
    <t xml:space="preserve">2. Hacienda Pública acreedora (IVA, retenciones, Sociedades)</t>
  </si>
  <si>
    <t xml:space="preserve">PCV3</t>
  </si>
  <si>
    <t xml:space="preserve">3. Seguridad Social y personal</t>
  </si>
  <si>
    <t xml:space="preserve">TP</t>
  </si>
  <si>
    <t xml:space="preserve">TOTAL PATRIMONIO NETO Y PASIVO (A + B + C)</t>
  </si>
  <si>
    <t xml:space="preserve">Comprobación: Activo − (Patrimonio neto + Pasivo)</t>
  </si>
  <si>
    <t xml:space="preserve">Si sale distinto de «-» (cero), algo está mal registrado.</t>
  </si>
  <si>
    <t xml:space="preserve">Cuenta de Pérdidas y Ganancias - Berts Solutions SL</t>
  </si>
  <si>
    <t xml:space="preserve">Modelo PGC Pymes. Ingresos en positivo, gastos entre paréntesis. Trimestres del año de la fecha de corte.</t>
  </si>
  <si>
    <t xml:space="preserve">2025 (Fisama)</t>
  </si>
  <si>
    <t xml:space="preserve">Acumulado a fecha de corte</t>
  </si>
  <si>
    <t xml:space="preserve">Desde</t>
  </si>
  <si>
    <t xml:space="preserve">01/01/2025</t>
  </si>
  <si>
    <t xml:space="preserve">Hasta</t>
  </si>
  <si>
    <t xml:space="preserve">31/12/2025</t>
  </si>
  <si>
    <t xml:space="preserve">P1</t>
  </si>
  <si>
    <t xml:space="preserve">1. Importe neto de la cifra de negocios</t>
  </si>
  <si>
    <t xml:space="preserve">P4</t>
  </si>
  <si>
    <t xml:space="preserve">4. Aprovisionamientos</t>
  </si>
  <si>
    <t xml:space="preserve">P5</t>
  </si>
  <si>
    <t xml:space="preserve">5. Otros ingresos de explotación</t>
  </si>
  <si>
    <t xml:space="preserve">P6</t>
  </si>
  <si>
    <t xml:space="preserve">6. Gastos de personal</t>
  </si>
  <si>
    <t xml:space="preserve">P7</t>
  </si>
  <si>
    <t xml:space="preserve">7. Otros gastos de explotación</t>
  </si>
  <si>
    <t xml:space="preserve">P7a</t>
  </si>
  <si>
    <t xml:space="preserve">a) Servicios exteriores</t>
  </si>
  <si>
    <t xml:space="preserve">P7b</t>
  </si>
  <si>
    <t xml:space="preserve">b) Tributos</t>
  </si>
  <si>
    <t xml:space="preserve">P7c</t>
  </si>
  <si>
    <t xml:space="preserve">c) Otros gastos de gestión corriente</t>
  </si>
  <si>
    <t xml:space="preserve">P8</t>
  </si>
  <si>
    <t xml:space="preserve">8. Amortización del inmovilizado</t>
  </si>
  <si>
    <t xml:space="preserve">P11</t>
  </si>
  <si>
    <t xml:space="preserve">11. Deterioro y resultado por enajenaciones del inmovilizado</t>
  </si>
  <si>
    <t xml:space="preserve">P12</t>
  </si>
  <si>
    <t xml:space="preserve">12. Otros resultados</t>
  </si>
  <si>
    <t xml:space="preserve">A1</t>
  </si>
  <si>
    <t xml:space="preserve">A.1) RESULTADO DE EXPLOTACIÓN</t>
  </si>
  <si>
    <t xml:space="preserve">P13</t>
  </si>
  <si>
    <t xml:space="preserve">13. Ingresos financieros</t>
  </si>
  <si>
    <t xml:space="preserve">P14</t>
  </si>
  <si>
    <t xml:space="preserve">14. Gastos financieros</t>
  </si>
  <si>
    <t xml:space="preserve">P16</t>
  </si>
  <si>
    <t xml:space="preserve">16. Diferencias de cambio</t>
  </si>
  <si>
    <t xml:space="preserve">A2</t>
  </si>
  <si>
    <t xml:space="preserve">A.2) RESULTADO FINANCIERO</t>
  </si>
  <si>
    <t xml:space="preserve">A3</t>
  </si>
  <si>
    <t xml:space="preserve">A.3) RESULTADO ANTES DE IMPUESTOS</t>
  </si>
  <si>
    <t xml:space="preserve">P17</t>
  </si>
  <si>
    <t xml:space="preserve">17. Impuestos sobre beneficios</t>
  </si>
  <si>
    <t xml:space="preserve">A4</t>
  </si>
  <si>
    <t xml:space="preserve">A.4) RESULTADO DEL EJERCICIO</t>
  </si>
  <si>
    <t xml:space="preserve">Cuenta</t>
  </si>
  <si>
    <t xml:space="preserve">Detalle por cuenta (ingresos y gastos)</t>
  </si>
  <si>
    <t xml:space="preserve">T1</t>
  </si>
  <si>
    <t xml:space="preserve">T2</t>
  </si>
  <si>
    <t xml:space="preserve">T3</t>
  </si>
  <si>
    <t xml:space="preserve">T4</t>
  </si>
  <si>
    <t xml:space="preserve">Acumulado</t>
  </si>
  <si>
    <t xml:space="preserve">6220</t>
  </si>
  <si>
    <t xml:space="preserve">Reparaciones y conservación</t>
  </si>
  <si>
    <t xml:space="preserve">6230</t>
  </si>
  <si>
    <t xml:space="preserve">Servicios de profesionales independientes</t>
  </si>
  <si>
    <t xml:space="preserve">6250</t>
  </si>
  <si>
    <t xml:space="preserve">Primas de seguros</t>
  </si>
  <si>
    <t xml:space="preserve">6280</t>
  </si>
  <si>
    <t xml:space="preserve">Suministros (combustible, luz, teléfono...)</t>
  </si>
  <si>
    <t xml:space="preserve">6290</t>
  </si>
  <si>
    <t xml:space="preserve">Otros servicios</t>
  </si>
  <si>
    <t xml:space="preserve">6310</t>
  </si>
  <si>
    <t xml:space="preserve">Otros tributos (IVTM...)</t>
  </si>
  <si>
    <t xml:space="preserve">6710</t>
  </si>
  <si>
    <t xml:space="preserve">Pérdidas procedentes del inmovilizado material</t>
  </si>
  <si>
    <t xml:space="preserve">6780</t>
  </si>
  <si>
    <t xml:space="preserve">Gastos excepcionales (sanciones...)</t>
  </si>
  <si>
    <t xml:space="preserve">6810</t>
  </si>
  <si>
    <t xml:space="preserve">Amortización del inmovilizado material</t>
  </si>
  <si>
    <t xml:space="preserve">7050</t>
  </si>
  <si>
    <t xml:space="preserve">Prestaciones de servicios (alquileres)</t>
  </si>
  <si>
    <t xml:space="preserve">Total = Resultado del ejercicio</t>
  </si>
  <si>
    <t xml:space="preserve">Inmovilizado: vehículos, amortización y rentabilidad</t>
  </si>
  <si>
    <t xml:space="preserve">Coste activado = precio + gastos necesarios para ponerlo a rodar (ITP, gestoría, aduana, matriculación). Amortización lineal por días.</t>
  </si>
  <si>
    <t xml:space="preserve">ID</t>
  </si>
  <si>
    <t xml:space="preserve">Vehículo</t>
  </si>
  <si>
    <t xml:space="preserve">Matrícula</t>
  </si>
  <si>
    <t xml:space="preserve">Precio compra (€)</t>
  </si>
  <si>
    <t xml:space="preserve">¿Precio estimado?</t>
  </si>
  <si>
    <t xml:space="preserve">% amort. anual</t>
  </si>
  <si>
    <t xml:space="preserve">Coste activado total (€)</t>
  </si>
  <si>
    <t xml:space="preserve">Amortización dotada (€)</t>
  </si>
  <si>
    <t xml:space="preserve">Valor neto contable (€)</t>
  </si>
  <si>
    <t xml:space="preserve">Ingresos (€)</t>
  </si>
  <si>
    <t xml:space="preserve">Gastos incl. amortización (€)</t>
  </si>
  <si>
    <t xml:space="preserve">Resultado del vehículo (€)</t>
  </si>
  <si>
    <t xml:space="preserve">V1</t>
  </si>
  <si>
    <t xml:space="preserve">Nissan NV200 Furgon 1.5 dCi 90cv</t>
  </si>
  <si>
    <t xml:space="preserve">1370KGF</t>
  </si>
  <si>
    <t xml:space="preserve">en_alquiler</t>
  </si>
  <si>
    <t xml:space="preserve">no</t>
  </si>
  <si>
    <t xml:space="preserve">V2</t>
  </si>
  <si>
    <t xml:space="preserve">2436KSS</t>
  </si>
  <si>
    <t xml:space="preserve">si</t>
  </si>
  <si>
    <t xml:space="preserve">V3</t>
  </si>
  <si>
    <t xml:space="preserve">Ford Fiesta</t>
  </si>
  <si>
    <t xml:space="preserve">4161JHF</t>
  </si>
  <si>
    <t xml:space="preserve">vendido</t>
  </si>
  <si>
    <t xml:space="preserve">V4</t>
  </si>
  <si>
    <t xml:space="preserve">Ford Mustang 2.3L (Blanco)</t>
  </si>
  <si>
    <t xml:space="preserve">P7559BDR (temporal)</t>
  </si>
  <si>
    <t xml:space="preserve">averiado_motor</t>
  </si>
  <si>
    <t xml:space="preserve">V5</t>
  </si>
  <si>
    <t xml:space="preserve">Ford Mustang (Gris)</t>
  </si>
  <si>
    <t xml:space="preserve">pendiente</t>
  </si>
  <si>
    <t xml:space="preserve">sin_matricular</t>
  </si>
  <si>
    <t xml:space="preserve">TOTAL</t>
  </si>
  <si>
    <t xml:space="preserve">Gastos sin vehículo asignado (hosting, combustible sin identificar...) no aparecen aquí.</t>
  </si>
  <si>
    <t xml:space="preserve">El Ford Fiesta (V3) vendido: su «Gastos» incluye la pérdida contable de la venta.</t>
  </si>
  <si>
    <t xml:space="preserve">IVA por trimestre (para contrastar con el modelo 303 de Fisama)</t>
  </si>
  <si>
    <t xml:space="preserve">Estimación a partir de las facturas registradas. El IVA no deducible (facturas a nombre de otra persona, tickets) no cuenta como soportado.</t>
  </si>
  <si>
    <t xml:space="preserve">Trimestre</t>
  </si>
  <si>
    <t xml:space="preserve">IVA repercutido (€)</t>
  </si>
  <si>
    <t xml:space="preserve">IVA soportado deducible (€)</t>
  </si>
  <si>
    <t xml:space="preserve">Diferencia del trimestre (€)</t>
  </si>
  <si>
    <t xml:space="preserve">2026-T1</t>
  </si>
  <si>
    <t xml:space="preserve">Cerrado. 236,54 € a compensar en trimestres siguientes</t>
  </si>
  <si>
    <t xml:space="preserve">2026-T2</t>
  </si>
  <si>
    <t xml:space="preserve">Cerrado. Tras compensar 236,54 € de trimestres anteriores: 277,49 € A INGRESAR</t>
  </si>
  <si>
    <t xml:space="preserve">2026-T3</t>
  </si>
  <si>
    <t xml:space="preserve">En curso</t>
  </si>
  <si>
    <t xml:space="preserve">2026-T4</t>
  </si>
  <si>
    <t xml:space="preserve">-</t>
  </si>
  <si>
    <t xml:space="preserve">Qué falta o no cuadra</t>
  </si>
  <si>
    <t xml:space="preserve">Se genera solo cada vez que se actualizan los datos. Cuando nos paséis la información, el aviso desaparece.</t>
  </si>
  <si>
    <t xml:space="preserve">Prioridad</t>
  </si>
  <si>
    <t xml:space="preserve">Tema</t>
  </si>
  <si>
    <t xml:space="preserve">Detalle</t>
  </si>
  <si>
    <t xml:space="preserve">ALTA</t>
  </si>
  <si>
    <t xml:space="preserve">Cobros pendientes de confirmar</t>
  </si>
  <si>
    <t xml:space="preserve">Factura 9 Cielo Elizabeth Castillo Gomez (700,00 €): no sabemos si se ha cobrado. Figura como deuda del cliente.</t>
  </si>
  <si>
    <t xml:space="preserve">Factura 10 David Chaves Jodar (700,00 €): no sabemos si se ha cobrado. Figura como deuda del cliente.</t>
  </si>
  <si>
    <t xml:space="preserve">Factura 12 Cielo Elizabeth Castillo Gomez (490,05 €): no sabemos si se ha cobrado. Figura como deuda del cliente.</t>
  </si>
  <si>
    <t xml:space="preserve">Factura 11 Adrian Diaz-Maroto Hernando (3.000,80 €): no sabemos si se ha cobrado. Figura como deuda del cliente.</t>
  </si>
  <si>
    <t xml:space="preserve">Cuadre bancario</t>
  </si>
  <si>
    <t xml:space="preserve">No tenemos ningún saldo real del BBVA de 2026. Sin extractos no se puede comprobar que la tesorería del balance sea la real.</t>
  </si>
  <si>
    <t xml:space="preserve">Partidas pendientes de aplicación</t>
  </si>
  <si>
    <t xml:space="preserve">Hay 24.498,06 € en la cuenta 555: pagos cuyo origen no sabemos (sobre todo compras de vehículos). Con los extractos del BBVA se reparten entre banco, deuda con socios o aportación.</t>
  </si>
  <si>
    <t xml:space="preserve">Vehículo V1</t>
  </si>
  <si>
    <t xml:space="preserve">Nissan NV200 Furgon 1.5 dCi 90cv (3.800,00 €): no sabemos desde dónde se pagó (¿BBVA de la empresa? ¿un socio de su bolsillo?). Queda en 'partidas pendientes de aplicación'.</t>
  </si>
  <si>
    <t xml:space="preserve">Vehículo V3</t>
  </si>
  <si>
    <t xml:space="preserve">Ford Fiesta (5.800,00 €): no sabemos desde dónde se pagó (¿BBVA de la empresa? ¿un socio de su bolsillo?). Queda en 'partidas pendientes de aplicación'.</t>
  </si>
  <si>
    <t xml:space="preserve">Vehículo V4</t>
  </si>
  <si>
    <t xml:space="preserve">Ford Mustang 2.3L (Blanco): el precio de compra (6.967,03 €) es una ESTIMACIÓN (valor declarado en aduana). Falta la factura de compra real.</t>
  </si>
  <si>
    <t xml:space="preserve">Ford Mustang 2.3L (Blanco) (6.967,03 €): no sabemos desde dónde se pagó (¿BBVA de la empresa? ¿un socio de su bolsillo?). Queda en 'partidas pendientes de aplicación'.</t>
  </si>
  <si>
    <t xml:space="preserve">Vehículo V5</t>
  </si>
  <si>
    <t xml:space="preserve">Ford Mustang (Gris): el precio de compra (7.931,03 €) es una ESTIMACIÓN (valor declarado en aduana). Falta la factura de compra real.</t>
  </si>
  <si>
    <t xml:space="preserve">Ford Mustang (Gris) (7.931,03 €): no sabemos desde dónde se pagó (¿BBVA de la empresa? ¿un socio de su bolsillo?). Queda en 'partidas pendientes de aplicación'.</t>
  </si>
  <si>
    <t xml:space="preserve">MEDIA</t>
  </si>
  <si>
    <t xml:space="preserve">Gasto de 2025 no contabilizado</t>
  </si>
  <si>
    <t xml:space="preserve">MUTUA-12692715 Mutua Madrilena (Seguro terceros NV200 1370KGF (23/10/2025-23/10/2026), 349,46 €) es de 2025-10-23 pero no está en la contabilidad 2025 de Fisama: se registra el 01/01/2026.</t>
  </si>
  <si>
    <t xml:space="preserve">MUTUA-12692873 Mutua Madrilena (Seguro todo riesgo NV200 2436KSS (09/12/2025-23/10/2026), 291,49 €) es de 2025-12-09 pero no está en la contabilidad 2025 de Fisama: se registra el 01/01/2026.</t>
  </si>
  <si>
    <t xml:space="preserve">Modelo 303 2026-T2: salen 277,49 € a ingresar. Cuando nos confirméis el pago (extracto o justificante) se registra y desaparece del pasivo.</t>
  </si>
  <si>
    <t xml:space="preserve">Pagos pendientes de confirmar</t>
  </si>
  <si>
    <t xml:space="preserve">MUTUA-12692715 Mutua Madrilena (349,46 €): no sabemos si está pagada. Figura como deuda con el proveedor.</t>
  </si>
  <si>
    <t xml:space="preserve">MUTUA-12692873 Mutua Madrilena (291,49 €): no sabemos si está pagada. Figura como deuda con el proveedor.</t>
  </si>
  <si>
    <t xml:space="preserve">Retenciones IRPF</t>
  </si>
  <si>
    <t xml:space="preserve">26A900127 Gestoria Amengual (Miguel Mas Amengual): Berts retuvo 7,50 € de IRPF al profesional. Hay que ingresarlos en Hacienda con el modelo 111 del 2026-T2. ¿Lo ha presentado Fisama?</t>
  </si>
  <si>
    <t xml:space="preserve">BAJA</t>
  </si>
  <si>
    <t xml:space="preserve">Factura emitida</t>
  </si>
  <si>
    <t xml:space="preserve">Factura 10 David Chaves Jodar: no sabemos a qué vehículo corresponde (afecta solo a la rentabilidad por vehículo).</t>
  </si>
  <si>
    <t xml:space="preserve">Asiento</t>
  </si>
  <si>
    <t xml:space="preserve">Fecha</t>
  </si>
  <si>
    <t xml:space="preserve">Nombre de la cuenta</t>
  </si>
  <si>
    <t xml:space="preserve">Concepto</t>
  </si>
  <si>
    <t xml:space="preserve">Debe (€)</t>
  </si>
  <si>
    <t xml:space="preserve">Haber (€)</t>
  </si>
  <si>
    <t xml:space="preserve">Tipo</t>
  </si>
  <si>
    <t xml:space="preserve">Documento</t>
  </si>
  <si>
    <t xml:space="preserve">Saldo D−H (€)</t>
  </si>
  <si>
    <t xml:space="preserve">Línea balance</t>
  </si>
  <si>
    <t xml:space="preserve">Línea PyG</t>
  </si>
  <si>
    <t xml:space="preserve">2130</t>
  </si>
  <si>
    <t xml:space="preserve">Maquinaria</t>
  </si>
  <si>
    <t xml:space="preserve">Saldo de apertura: Maquinaria</t>
  </si>
  <si>
    <t xml:space="preserve">APE</t>
  </si>
  <si>
    <t xml:space="preserve">Balance 2025 Fisama</t>
  </si>
  <si>
    <t xml:space="preserve">5720</t>
  </si>
  <si>
    <t xml:space="preserve">Bancos c/c BBVA</t>
  </si>
  <si>
    <t xml:space="preserve">Saldo de apertura: Bancos c/c BBVA ES73 0182 2458 1902 0130 3686</t>
  </si>
  <si>
    <t xml:space="preserve">1000</t>
  </si>
  <si>
    <t xml:space="preserve">Capital social</t>
  </si>
  <si>
    <t xml:space="preserve">Saldo de apertura: Capital social</t>
  </si>
  <si>
    <t xml:space="preserve">1180</t>
  </si>
  <si>
    <t xml:space="preserve">Aportaciones de socios o propietarios</t>
  </si>
  <si>
    <t xml:space="preserve">Saldo de apertura: Aportaciones de socios o propietarios</t>
  </si>
  <si>
    <t xml:space="preserve">1290</t>
  </si>
  <si>
    <t xml:space="preserve">Resultado del ejercicio</t>
  </si>
  <si>
    <t xml:space="preserve">Saldo de apertura: Resultado del ejercicio 2025</t>
  </si>
  <si>
    <t xml:space="preserve">Aplicacion del resultado 2025</t>
  </si>
  <si>
    <t xml:space="preserve">MAN</t>
  </si>
  <si>
    <t xml:space="preserve">M001 documentos/cuentas_anuales/2025_Cuenta-perdidas-y-ganancias-Fisama.pdf</t>
  </si>
  <si>
    <t xml:space="preserve">1120</t>
  </si>
  <si>
    <t xml:space="preserve">Reserva legal</t>
  </si>
  <si>
    <t xml:space="preserve">Aplicacion del resultado 2025 - reserva legal 10%</t>
  </si>
  <si>
    <t xml:space="preserve">1200</t>
  </si>
  <si>
    <t xml:space="preserve">Remanente</t>
  </si>
  <si>
    <t xml:space="preserve">Aplicacion del resultado 2025 - remanente</t>
  </si>
  <si>
    <t xml:space="preserve">2180</t>
  </si>
  <si>
    <t xml:space="preserve">Elementos de transporte</t>
  </si>
  <si>
    <t xml:space="preserve">Reclasificacion NV200 2436KSS de Maquinaria (2130) a Elementos de transporte (2180)</t>
  </si>
  <si>
    <t xml:space="preserve">M002 documentos/cuentas_anuales/2025_Balance-situacion-Fisama.pdf</t>
  </si>
  <si>
    <t xml:space="preserve">Seguro terceros NV200 1370KGF (23/10/2025-23/10/2026) (Mutua Madrilena)</t>
  </si>
  <si>
    <t xml:space="preserve">FRR</t>
  </si>
  <si>
    <t xml:space="preserve">MUTUA-12692715 Mutua Madrilena</t>
  </si>
  <si>
    <t xml:space="preserve">4100</t>
  </si>
  <si>
    <t xml:space="preserve">Acreedores por prestaciones de servicios</t>
  </si>
  <si>
    <t xml:space="preserve">Seguro todo riesgo NV200 2436KSS (09/12/2025-23/10/2026) (Mutua Madrilena)</t>
  </si>
  <si>
    <t xml:space="preserve">MUTUA-12692873 Mutua Madrilena</t>
  </si>
  <si>
    <t xml:space="preserve">Amortización Nissan NV200 Furgon 1.5 dCi 90cv 2436KSS (31 días al 16% anual)</t>
  </si>
  <si>
    <t xml:space="preserve">AMO</t>
  </si>
  <si>
    <t xml:space="preserve">Amortización V2 01/2026</t>
  </si>
  <si>
    <t xml:space="preserve">2818</t>
  </si>
  <si>
    <t xml:space="preserve">Amortización acumulada de elementos de transporte</t>
  </si>
  <si>
    <t xml:space="preserve">Compra Nissan NV200 Furgon 1.5 dCi 90cv 1370KGF a Roberto de Roa (socio)</t>
  </si>
  <si>
    <t xml:space="preserve">COM</t>
  </si>
  <si>
    <t xml:space="preserve">documentos/vehiculos/V1_1370KGF_2026-02-27_Contrato-compraventa-a-Roberto-de-Roa.pdf</t>
  </si>
  <si>
    <t xml:space="preserve">5550</t>
  </si>
  <si>
    <t xml:space="preserve">Amortización Nissan NV200 Furgon 1.5 dCi 90cv 1370KGF (2 días al 16% anual)</t>
  </si>
  <si>
    <t xml:space="preserve">Amortización V1 02/2026</t>
  </si>
  <si>
    <t xml:space="preserve">Amortización Nissan NV200 Furgon 1.5 dCi 90cv 2436KSS (28 días al 16% anual)</t>
  </si>
  <si>
    <t xml:space="preserve">Amortización V2 02/2026</t>
  </si>
  <si>
    <t xml:space="preserve">Mantenimiento completo NV200 2436KSS: aceite filtros frenos 4 neumaticos alineacion (Taller Carlos Valin SL)</t>
  </si>
  <si>
    <t xml:space="preserve">71/2026 Taller Carlos Valin SL</t>
  </si>
  <si>
    <t xml:space="preserve">4720</t>
  </si>
  <si>
    <t xml:space="preserve">H.P. IVA soportado</t>
  </si>
  <si>
    <t xml:space="preserve">IVA soportado 71/2026 Taller Carlos Valin SL</t>
  </si>
  <si>
    <t xml:space="preserve">Compra Ford Fiesta 4161JHF a Ruth Serrano</t>
  </si>
  <si>
    <t xml:space="preserve">documentos/vehiculos/V3_4161JHF_2026-03-04_Contrato-compraventa-Ford-Fiesta.pdf</t>
  </si>
  <si>
    <t xml:space="preserve">Pago 71/2026 Taller Carlos Valin SL</t>
  </si>
  <si>
    <t xml:space="preserve">PAG</t>
  </si>
  <si>
    <t xml:space="preserve">Cambio titularidad Ford Fiesta 4161JHF (suplidos: ITP 232.00 + tasa DGT 55.70 + varios 15.00) (Gestoria Amengual (Miguel Mas Amengual))</t>
  </si>
  <si>
    <t xml:space="preserve">26A900069 Gestoria Amengual (Miguel Mas Amengual)</t>
  </si>
  <si>
    <t xml:space="preserve">IVA soportado 26A900069 Gestoria Amengual (Miguel Mas Amengual)</t>
  </si>
  <si>
    <t xml:space="preserve">Suplidos: Cambio titularidad Ford Fiesta 4161JHF (suplidos: ITP 232.00 + tasa DGT 55.70 + varios 15.00) (Gestoria Amengual (Miguel Mas Amengual))</t>
  </si>
  <si>
    <t xml:space="preserve">Cambio titularidad NV200 1370KGF - expediente a nombre de Roberto de Roa (Gestoria Amengual (Miguel Mas Amengual))</t>
  </si>
  <si>
    <t xml:space="preserve">26A900070 Gestoria Amengual (Miguel Mas Amengual)</t>
  </si>
  <si>
    <t xml:space="preserve">IVA soportado 26A900070 Gestoria Amengual (Miguel Mas Amengual)</t>
  </si>
  <si>
    <t xml:space="preserve">Suplidos: Cambio titularidad NV200 1370KGF - expediente a nombre de Roberto de Roa (Gestoria Amengual (Miguel Mas Amengual))</t>
  </si>
  <si>
    <t xml:space="preserve">Cambio titularidad NV200 1370KGF (suplidos: ITP 152.64 + tasas) (Gestoria Amengual (Miguel Mas Amengual))</t>
  </si>
  <si>
    <t xml:space="preserve">26A900071 Gestoria Amengual (Miguel Mas Amengual)</t>
  </si>
  <si>
    <t xml:space="preserve">IVA soportado 26A900071 Gestoria Amengual (Miguel Mas Amengual)</t>
  </si>
  <si>
    <t xml:space="preserve">Suplidos: Cambio titularidad NV200 1370KGF (suplidos: ITP 152.64 + tasas) (Gestoria Amengual (Miguel Mas Amengual))</t>
  </si>
  <si>
    <t xml:space="preserve">Pago 26A900069 Gestoria Amengual (Miguel Mas Amengual)</t>
  </si>
  <si>
    <t xml:space="preserve">Pago 26A900070 Gestoria Amengual (Miguel Mas Amengual)</t>
  </si>
  <si>
    <t xml:space="preserve">Pago 26A900071 Gestoria Amengual (Miguel Mas Amengual)</t>
  </si>
  <si>
    <t xml:space="preserve">Amortización Nissan NV200 Furgon 1.5 dCi 90cv 1370KGF (31 días al 16% anual)</t>
  </si>
  <si>
    <t xml:space="preserve">Amortización V1 03/2026</t>
  </si>
  <si>
    <t xml:space="preserve">Amortización V2 03/2026</t>
  </si>
  <si>
    <t xml:space="preserve">Amortización Ford Fiesta 4161JHF (28 días al 16% anual)</t>
  </si>
  <si>
    <t xml:space="preserve">Amortización V3 03/2026</t>
  </si>
  <si>
    <t xml:space="preserve">Liquidación IVA 2026-T1</t>
  </si>
  <si>
    <t xml:space="preserve">Modelo 303 2026-T1</t>
  </si>
  <si>
    <t xml:space="preserve">4700</t>
  </si>
  <si>
    <t xml:space="preserve">H.P. deudora por IVA (a compensar)</t>
  </si>
  <si>
    <t xml:space="preserve">IVA a compensar 2026-T1 (modelo 303)</t>
  </si>
  <si>
    <t xml:space="preserve">Hosting Plan Mini + dominio bertssolutions.com (1 ano) (Webempresa Europa SLU)</t>
  </si>
  <si>
    <t xml:space="preserve">F26-45941 Webempresa Europa SLU</t>
  </si>
  <si>
    <t xml:space="preserve">Pago F26-45941 Webempresa Europa SLU</t>
  </si>
  <si>
    <t xml:space="preserve">4300</t>
  </si>
  <si>
    <t xml:space="preserve">Clientes</t>
  </si>
  <si>
    <t xml:space="preserve">Alquiler vehiculo comercial Nissan NV200 - mes de abril (Cielo Elizabeth Castillo Gomez)</t>
  </si>
  <si>
    <t xml:space="preserve">FRE</t>
  </si>
  <si>
    <t xml:space="preserve">Factura 9 Cielo Elizabeth Castillo Gomez</t>
  </si>
  <si>
    <t xml:space="preserve">4770</t>
  </si>
  <si>
    <t xml:space="preserve">H.P. IVA repercutido</t>
  </si>
  <si>
    <t xml:space="preserve">IVA repercutido Factura 9 Cielo Elizabeth Castillo Gomez</t>
  </si>
  <si>
    <t xml:space="preserve">Alquiler NV200 por plataforma Amovens 09/04 (Hugo Quispe Uscamayta (via Amovens))</t>
  </si>
  <si>
    <t xml:space="preserve">Factura A-2026-075757 Hugo Quispe Uscamayta (via Amovens)</t>
  </si>
  <si>
    <t xml:space="preserve">IVA repercutido Factura A-2026-075757 Hugo Quispe Uscamayta (via Amovens)</t>
  </si>
  <si>
    <t xml:space="preserve">Cobro Factura A-2026-075757 Hugo Quispe Uscamayta (via Amovens)</t>
  </si>
  <si>
    <t xml:space="preserve">COB</t>
  </si>
  <si>
    <t xml:space="preserve">Alquiler NV200 por plataforma Amovens 13/04 (Hugo Quispe Uscamayta (via Amovens))</t>
  </si>
  <si>
    <t xml:space="preserve">Factura A-2026-079507 Hugo Quispe Uscamayta (via Amovens)</t>
  </si>
  <si>
    <t xml:space="preserve">IVA repercutido Factura A-2026-079507 Hugo Quispe Uscamayta (via Amovens)</t>
  </si>
  <si>
    <t xml:space="preserve">Cobro Factura A-2026-079507 Hugo Quispe Uscamayta (via Amovens)</t>
  </si>
  <si>
    <t xml:space="preserve">Alquiler NV200 por plataforma Amovens 17/04 (Hugo Quispe Uscamayta (via Amovens))</t>
  </si>
  <si>
    <t xml:space="preserve">Factura A-2026-082625 Hugo Quispe Uscamayta (via Amovens)</t>
  </si>
  <si>
    <t xml:space="preserve">IVA repercutido Factura A-2026-082625 Hugo Quispe Uscamayta (via Amovens)</t>
  </si>
  <si>
    <t xml:space="preserve">Cobro Factura A-2026-082625 Hugo Quispe Uscamayta (via Amovens)</t>
  </si>
  <si>
    <t xml:space="preserve">Impuesto de circulacion (IVTM) 2026 del Ford Fiesta - reembolso a la vendedora (Ayuntamiento El Casar (via reembolso a Ruth Serrano))</t>
  </si>
  <si>
    <t xml:space="preserve">IVTM-2026-4161JHF Ayuntamiento El Casar (via reembolso a Ruth Serrano)</t>
  </si>
  <si>
    <t xml:space="preserve">Pago IVTM-2026-4161JHF Ayuntamiento El Casar (via reembolso a Ruth Serrano)</t>
  </si>
  <si>
    <t xml:space="preserve">Alquiler vehiculo comercial Nissan NV200 19/04-19/05 (David Chaves Jodar)</t>
  </si>
  <si>
    <t xml:space="preserve">Factura 10 David Chaves Jodar</t>
  </si>
  <si>
    <t xml:space="preserve">IVA repercutido Factura 10 David Chaves Jodar</t>
  </si>
  <si>
    <t xml:space="preserve">Amortización Nissan NV200 Furgon 1.5 dCi 90cv 1370KGF (30 días al 16% anual)</t>
  </si>
  <si>
    <t xml:space="preserve">Amortización V1 04/2026</t>
  </si>
  <si>
    <t xml:space="preserve">Amortización Nissan NV200 Furgon 1.5 dCi 90cv 2436KSS (30 días al 16% anual)</t>
  </si>
  <si>
    <t xml:space="preserve">Amortización V2 04/2026</t>
  </si>
  <si>
    <t xml:space="preserve">Amortización Ford Fiesta 4161JHF (30 días al 16% anual)</t>
  </si>
  <si>
    <t xml:space="preserve">Amortización V3 04/2026</t>
  </si>
  <si>
    <t xml:space="preserve">Compra Ford Mustang 2.3L (Blanco) P7559BDR (temporal) a ECOM HOLDING LLC FZ</t>
  </si>
  <si>
    <t xml:space="preserve">Suplidos DUA importacion Mustang Blanco (arancel + IVA importacion sin desglosar) (Amalgama Export SL)</t>
  </si>
  <si>
    <t xml:space="preserve">AES2600140 Amalgama Export SL</t>
  </si>
  <si>
    <t xml:space="preserve">Pago AES2600140 Amalgama Export SL</t>
  </si>
  <si>
    <t xml:space="preserve">Gastos importacion Mustang Blanco: naviera escaner despacho transporte descarga (Amalgama Export SL)</t>
  </si>
  <si>
    <t xml:space="preserve">AEF2600244 Amalgama Export SL</t>
  </si>
  <si>
    <t xml:space="preserve">IVA soportado AEF2600244 Amalgama Export SL</t>
  </si>
  <si>
    <t xml:space="preserve">Demoras (95) y almacenaje (105) en puerto - Mustang Blanco (Amalgama Export SL)</t>
  </si>
  <si>
    <t xml:space="preserve">Pago AEF2600244 Amalgama Export SL</t>
  </si>
  <si>
    <t xml:space="preserve">Revision niveles presiones y tren delantero Ford Fiesta (Taller Carlos Valin SL)</t>
  </si>
  <si>
    <t xml:space="preserve">150/2026 Taller Carlos Valin SL</t>
  </si>
  <si>
    <t xml:space="preserve">IVA soportado 150/2026 Taller Carlos Valin SL</t>
  </si>
  <si>
    <t xml:space="preserve">Combustible efitec 95 - 27.55 litros - Ford Fiesta 4161JHF (Cesena Inversiones SL (Repsol))</t>
  </si>
  <si>
    <t xml:space="preserve">096247/A/26/000526 Cesena Inversiones SL (Repsol)</t>
  </si>
  <si>
    <t xml:space="preserve">IVA soportado 096247/A/26/000526 Cesena Inversiones SL (Repsol)</t>
  </si>
  <si>
    <t xml:space="preserve">Pago 150/2026 Taller Carlos Valin SL</t>
  </si>
  <si>
    <t xml:space="preserve">Pago 096247/A/26/000526 Cesena Inversiones SL (Repsol)</t>
  </si>
  <si>
    <t xml:space="preserve">Combustible S/P 95 Active - 38.68 litros (Estacion Servicio Prat SLU)</t>
  </si>
  <si>
    <t xml:space="preserve">262000851 Estacion Servicio Prat SLU</t>
  </si>
  <si>
    <t xml:space="preserve">IVA soportado 262000851 Estacion Servicio Prat SLU</t>
  </si>
  <si>
    <t xml:space="preserve">Placas de matricula temporal P7559BDR para el Mustang Blanco (Grabados Juanjo SLU)</t>
  </si>
  <si>
    <t xml:space="preserve">261102507 Grabados Juanjo SLU</t>
  </si>
  <si>
    <t xml:space="preserve">IVA soportado 261102507 Grabados Juanjo SLU</t>
  </si>
  <si>
    <t xml:space="preserve">Pago 262000851 Estacion Servicio Prat SLU</t>
  </si>
  <si>
    <t xml:space="preserve">Pago 261102507 Grabados Juanjo SLU</t>
  </si>
  <si>
    <t xml:space="preserve">Anticongelante y diagnosis testigo fallo motor Mustang Blanco - AVERIA INTERNA MOTOR FALLO CILINDROS (Taller Carlos Valin SL)</t>
  </si>
  <si>
    <t xml:space="preserve">154/2026 Taller Carlos Valin SL</t>
  </si>
  <si>
    <t xml:space="preserve">IVA soportado 154/2026 Taller Carlos Valin SL</t>
  </si>
  <si>
    <t xml:space="preserve">Matriculacion temporal y definitiva Mustang Blanco: honorarios 50.00 + copias 12.50 (Gestoria Amengual (Miguel Mas Amengual))</t>
  </si>
  <si>
    <t xml:space="preserve">26A900127 Gestoria Amengual (Miguel Mas Amengual)</t>
  </si>
  <si>
    <t xml:space="preserve">IVA soportado 26A900127 Gestoria Amengual (Miguel Mas Amengual)</t>
  </si>
  <si>
    <t xml:space="preserve">Suplidos: Matriculacion temporal y definitiva Mustang Blanco: honorarios 50.00 + copias 12.50 (Gestoria Amengual (Miguel Mas Amengual))</t>
  </si>
  <si>
    <t xml:space="preserve">4751</t>
  </si>
  <si>
    <t xml:space="preserve">H.P. acreedora por retenciones practicadas (modelo 111)</t>
  </si>
  <si>
    <t xml:space="preserve">Retención IRPF 26A900127 Gestoria Amengual (Miguel Mas Amengual)</t>
  </si>
  <si>
    <t xml:space="preserve">Suplidos: Suplido IVTM 2026 Ayuntamiento de Madrid - Mustang Blanco (Gestoria Amengual (Miguel Mas Amengual))</t>
  </si>
  <si>
    <t xml:space="preserve">Suplido IVTM 2026 Ayuntamiento de Madrid - Mustang Blanco (Gestoria Amengual (Miguel Mas Amengual))</t>
  </si>
  <si>
    <t xml:space="preserve">Pago 154/2026 Taller Carlos Valin SL</t>
  </si>
  <si>
    <t xml:space="preserve">Pago 26A900127 Gestoria Amengual (Miguel Mas Amengual)</t>
  </si>
  <si>
    <t xml:space="preserve">Alquiler NV200 por plataforma Amovens 22-24/05 (Fernando Hernandez Guerras (via Amovens))</t>
  </si>
  <si>
    <t xml:space="preserve">Factura A-2026-119103 Fernando Hernandez Guerras (via Amovens)</t>
  </si>
  <si>
    <t xml:space="preserve">IVA repercutido Factura A-2026-119103 Fernando Hernandez Guerras (via Amovens)</t>
  </si>
  <si>
    <t xml:space="preserve">Cobro Factura A-2026-119103 Fernando Hernandez Guerras (via Amovens)</t>
  </si>
  <si>
    <t xml:space="preserve">Amortización V1 05/2026</t>
  </si>
  <si>
    <t xml:space="preserve">Amortización V2 05/2026</t>
  </si>
  <si>
    <t xml:space="preserve">Amortización Ford Fiesta 4161JHF (31 días al 16% anual)</t>
  </si>
  <si>
    <t xml:space="preserve">Amortización V3 05/2026</t>
  </si>
  <si>
    <t xml:space="preserve">Venta VENTA del vehiculo Ford Fiesta 4161JHF (Adrian Diaz-Maroto Hernando)</t>
  </si>
  <si>
    <t xml:space="preserve">VTA</t>
  </si>
  <si>
    <t xml:space="preserve">Factura 11 Adrian Diaz-Maroto Hernando</t>
  </si>
  <si>
    <t xml:space="preserve">Baja amortización acumulada V3</t>
  </si>
  <si>
    <t xml:space="preserve">Baja del activo V3</t>
  </si>
  <si>
    <t xml:space="preserve">IVA repercutido Factura 11 Adrian Diaz-Maroto Hernando</t>
  </si>
  <si>
    <t xml:space="preserve">Pérdida en la venta de V3</t>
  </si>
  <si>
    <t xml:space="preserve">Amortización Ford Fiesta 4161JHF (8 días al 16% anual)</t>
  </si>
  <si>
    <t xml:space="preserve">Amortización V3 06/2026</t>
  </si>
  <si>
    <t xml:space="preserve">Diagnosis motor Mustang Blanco - DANOS INTERNOS EN MOTOR SE ACONSEJA SUSTITUIR (Torres Auto (Pedryraf SL))</t>
  </si>
  <si>
    <t xml:space="preserve">TC26 722 Torres Auto (Pedryraf SL)</t>
  </si>
  <si>
    <t xml:space="preserve">IVA soportado TC26 722 Torres Auto (Pedryraf SL)</t>
  </si>
  <si>
    <t xml:space="preserve">Pago TC26 722 Torres Auto (Pedryraf SL)</t>
  </si>
  <si>
    <t xml:space="preserve">Reparacion NV200 2436KSS (km 177.000) (Taller Carlos Valin SL)</t>
  </si>
  <si>
    <t xml:space="preserve">156/2026 Taller Carlos Valin SL</t>
  </si>
  <si>
    <t xml:space="preserve">IVA soportado 156/2026 Taller Carlos Valin SL</t>
  </si>
  <si>
    <t xml:space="preserve">Pago 156/2026 Taller Carlos Valin SL</t>
  </si>
  <si>
    <t xml:space="preserve">Alquiler vehiculo comercial Nissan NV200 - mes de junio (Cielo Elizabeth Castillo Gomez)</t>
  </si>
  <si>
    <t xml:space="preserve">Factura 12 Cielo Elizabeth Castillo Gomez</t>
  </si>
  <si>
    <t xml:space="preserve">IVA repercutido Factura 12 Cielo Elizabeth Castillo Gomez</t>
  </si>
  <si>
    <t xml:space="preserve">Combustible diesel e+ 9.50 litros (Campsa Estaciones de Servicio SA (Repsol))</t>
  </si>
  <si>
    <t xml:space="preserve">REPSOL-21062026 Campsa Estaciones de Servicio SA (Repsol)</t>
  </si>
  <si>
    <t xml:space="preserve">Pago REPSOL-21062026 Campsa Estaciones de Servicio SA (Repsol)</t>
  </si>
  <si>
    <t xml:space="preserve">Compra Ford Mustang (Gris) pendiente a ECOM HOLDING LLC FZ</t>
  </si>
  <si>
    <t xml:space="preserve">Comisiones de la plataforma Amovens por los 4 alquileres del Q2 (10.50+7.50+11.40+20.80) (Amovens)</t>
  </si>
  <si>
    <t xml:space="preserve">COM-AMOVENS-Q2 Amovens</t>
  </si>
  <si>
    <t xml:space="preserve">IVA soportado COM-AMOVENS-Q2 Amovens</t>
  </si>
  <si>
    <t xml:space="preserve">Pago COM-AMOVENS-Q2 Amovens</t>
  </si>
  <si>
    <t xml:space="preserve">Amortización V1 06/2026</t>
  </si>
  <si>
    <t xml:space="preserve">Amortización V2 06/2026</t>
  </si>
  <si>
    <t xml:space="preserve">Liquidación IVA 2026-T2</t>
  </si>
  <si>
    <t xml:space="preserve">Modelo 303 2026-T2</t>
  </si>
  <si>
    <t xml:space="preserve">Compensación de cuotas anteriores 2026-T2</t>
  </si>
  <si>
    <t xml:space="preserve">4750</t>
  </si>
  <si>
    <t xml:space="preserve">H.P. acreedora por IVA (a ingresar)</t>
  </si>
  <si>
    <t xml:space="preserve">IVA a ingresar 2026-T2 (modelo 303)</t>
  </si>
  <si>
    <t xml:space="preserve">Importacion Mustang Gris: arancel 1205.10 + impuesto gases fluorados 60.00 (base) + IVA importacion 2818.14 (cuota) (Agencia Tributaria - Aduanas de Cadiz)</t>
  </si>
  <si>
    <t xml:space="preserve">DUA-26ES001131I0351DR8 Agencia Tributaria - Aduanas de Cadiz</t>
  </si>
  <si>
    <t xml:space="preserve">IVA soportado DUA-26ES001131I0351DR8 Agencia Tributaria - Aduanas de Cadiz</t>
  </si>
  <si>
    <t xml:space="preserve">Pago DUA-26ES001131I0351DR8 Agencia Tributaria - Aduanas de Cadiz</t>
  </si>
  <si>
    <t xml:space="preserve">Gastos importacion Mustang Gris: naviera despacho transporte (Amalgama Export SL)</t>
  </si>
  <si>
    <t xml:space="preserve">AEF2600355 Amalgama Export SL</t>
  </si>
  <si>
    <t xml:space="preserve">IVA soportado AEF2600355 Amalgama Export SL</t>
  </si>
  <si>
    <t xml:space="preserve">Demoras (697) y almacenaje (250) en puerto - Mustang Gris (Amalgama Export SL)</t>
  </si>
  <si>
    <t xml:space="preserve">Pago AEF2600355 Amalgama Export SL</t>
  </si>
  <si>
    <t xml:space="preserve">Amortización V1 07/2026</t>
  </si>
  <si>
    <t xml:space="preserve">Amortización V2 07/2026</t>
  </si>
  <si>
    <t xml:space="preserve">Amortización V1 08/2026</t>
  </si>
  <si>
    <t xml:space="preserve">Amortización V2 08/2026</t>
  </si>
  <si>
    <t xml:space="preserve">Pago de sancion - expediente Algeciras (Mustang) (Agencia Tributaria)</t>
  </si>
  <si>
    <t xml:space="preserve">SANCION-282615500164R Agencia Tributaria</t>
  </si>
  <si>
    <t xml:space="preserve">Pago SANCION-282615500164R Agencia Tributaria</t>
  </si>
  <si>
    <t xml:space="preserve">Reparacion NV200 1370KGF: caudalimetro tubo intercooler mano de obra y mantenimiento (Jorge Vallejo Medina)</t>
  </si>
  <si>
    <t xml:space="preserve">TA26/1.432 Jorge Vallejo Medina</t>
  </si>
  <si>
    <t xml:space="preserve">IVA soportado TA26/1.432 Jorge Vallejo Medina</t>
  </si>
  <si>
    <t xml:space="preserve">Pago TA26/1.432 Jorge Vallejo Medina</t>
  </si>
  <si>
    <t xml:space="preserve">Amortización Nissan NV200 Furgon 1.5 dCi 90cv 1370KGF (22 días al 16% anual)</t>
  </si>
  <si>
    <t xml:space="preserve">Amortización V1 09/2026</t>
  </si>
  <si>
    <t xml:space="preserve">Amortización Nissan NV200 Furgon 1.5 dCi 90cv 2436KSS (22 días al 16% anual)</t>
  </si>
  <si>
    <t xml:space="preserve">Amortización V2 09/2026</t>
  </si>
  <si>
    <t xml:space="preserve">SUMAS</t>
  </si>
  <si>
    <t xml:space="preserve">Balance de sumas y saldos</t>
  </si>
  <si>
    <t xml:space="preserve">Movimientos acumulados de cada cuenta hasta la fecha de corte.</t>
  </si>
  <si>
    <t xml:space="preserve">Nombre</t>
  </si>
  <si>
    <t xml:space="preserve">Saldo deudor (€)</t>
  </si>
  <si>
    <t xml:space="preserve">Saldo acreedor (€)</t>
  </si>
  <si>
    <t xml:space="preserve">TOTALES</t>
  </si>
  <si>
    <t xml:space="preserve">Plan de cuentas utilizado (PGC Pymes)</t>
  </si>
  <si>
    <t xml:space="preserve">Relaciona cada cuenta con su línea del Balance y de la PyG. El Diario la usa para clasificar cada apunte.</t>
  </si>
  <si>
    <t xml:space="preserve">Texto línea balance</t>
  </si>
  <si>
    <t xml:space="preserve">Texto línea PyG</t>
  </si>
  <si>
    <t xml:space="preserve">1130</t>
  </si>
  <si>
    <t xml:space="preserve">Reservas voluntarias</t>
  </si>
  <si>
    <t xml:space="preserve">1210</t>
  </si>
  <si>
    <t xml:space="preserve">Resultados negativos de ejercicios anteriores</t>
  </si>
  <si>
    <t xml:space="preserve">1630</t>
  </si>
  <si>
    <t xml:space="preserve">Otras deudas a l/p con partes vinculadas (préstamo de socios)</t>
  </si>
  <si>
    <t xml:space="preserve">1700</t>
  </si>
  <si>
    <t xml:space="preserve">Deudas a l/p con entidades de crédito</t>
  </si>
  <si>
    <t xml:space="preserve">4000</t>
  </si>
  <si>
    <t xml:space="preserve">Proveedores</t>
  </si>
  <si>
    <t xml:space="preserve">4650</t>
  </si>
  <si>
    <t xml:space="preserve">Remuneraciones pendientes de pago</t>
  </si>
  <si>
    <t xml:space="preserve">4709</t>
  </si>
  <si>
    <t xml:space="preserve">H.P. deudora por devolución de impuestos</t>
  </si>
  <si>
    <t xml:space="preserve">4752</t>
  </si>
  <si>
    <t xml:space="preserve">H.P. acreedora por Impuesto sobre Sociedades</t>
  </si>
  <si>
    <t xml:space="preserve">4760</t>
  </si>
  <si>
    <t xml:space="preserve">Organismos de la Seguridad Social, acreedores</t>
  </si>
  <si>
    <t xml:space="preserve">4800</t>
  </si>
  <si>
    <t xml:space="preserve">Gastos anticipados</t>
  </si>
  <si>
    <t xml:space="preserve">5200</t>
  </si>
  <si>
    <t xml:space="preserve">Deudas a c/p con entidades de crédito</t>
  </si>
  <si>
    <t xml:space="preserve">5510</t>
  </si>
  <si>
    <t xml:space="preserve">Cuenta corriente con socios</t>
  </si>
  <si>
    <t xml:space="preserve">D551</t>
  </si>
  <si>
    <t xml:space="preserve">Socios (deudor o acreedor según saldo)</t>
  </si>
  <si>
    <t xml:space="preserve">D555</t>
  </si>
  <si>
    <t xml:space="preserve">Partidas pendientes de aplicación (deudor o acreedor según saldo)</t>
  </si>
  <si>
    <t xml:space="preserve">6260</t>
  </si>
  <si>
    <t xml:space="preserve">Servicios bancarios</t>
  </si>
  <si>
    <t xml:space="preserve">6270</t>
  </si>
  <si>
    <t xml:space="preserve">Publicidad y propaganda</t>
  </si>
  <si>
    <t xml:space="preserve">6300</t>
  </si>
  <si>
    <t xml:space="preserve">Impuesto sobre beneficios</t>
  </si>
  <si>
    <t xml:space="preserve">6400</t>
  </si>
  <si>
    <t xml:space="preserve">Sueldos y salarios</t>
  </si>
  <si>
    <t xml:space="preserve">6420</t>
  </si>
  <si>
    <t xml:space="preserve">Seguridad Social a cargo de la empresa</t>
  </si>
  <si>
    <t xml:space="preserve">6620</t>
  </si>
  <si>
    <t xml:space="preserve">Intereses de deudas</t>
  </si>
  <si>
    <t xml:space="preserve">6690</t>
  </si>
  <si>
    <t xml:space="preserve">Otros gastos financieros</t>
  </si>
  <si>
    <t xml:space="preserve">6910</t>
  </si>
  <si>
    <t xml:space="preserve">Pérdidas por deterioro del inmovilizado material</t>
  </si>
  <si>
    <t xml:space="preserve">7590</t>
  </si>
  <si>
    <t xml:space="preserve">Ingresos por servicios diversos</t>
  </si>
  <si>
    <t xml:space="preserve">7690</t>
  </si>
  <si>
    <t xml:space="preserve">Otros ingresos financieros</t>
  </si>
  <si>
    <t xml:space="preserve">7710</t>
  </si>
  <si>
    <t xml:space="preserve">Beneficios procedentes del inmovilizado material</t>
  </si>
  <si>
    <t xml:space="preserve">7780</t>
  </si>
  <si>
    <t xml:space="preserve">Ingresos excepcionales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</si>
</sst>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;\(#,##0.00\);\-"/>
    <numFmt numFmtId="167" formatCode="@"/>
    <numFmt numFmtId="16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4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6" hidden="false" customHeight="true" outlineLevel="0" collapsed="false">
      <c r="B4" s="0" t="s">
        <v>2</v>
      </c>
      <c r="C4" s="3" t="n">
        <v>46287</v>
      </c>
      <c r="D4" s="4" t="s">
        <v>3</v>
      </c>
    </row>
    <row r="5" customFormat="false" ht="15" hidden="false" customHeight="false" outlineLevel="0" collapsed="false">
      <c r="B5" s="0" t="s">
        <v>4</v>
      </c>
      <c r="C5" s="3" t="n">
        <v>46022</v>
      </c>
    </row>
    <row r="7" customFormat="false" ht="15" hidden="false" customHeight="false" outlineLevel="0" collapsed="false">
      <c r="A7" s="5"/>
      <c r="B7" s="5" t="s">
        <v>5</v>
      </c>
      <c r="C7" s="5" t="s">
        <v>6</v>
      </c>
      <c r="D7" s="5" t="s">
        <v>7</v>
      </c>
    </row>
    <row r="8" customFormat="false" ht="15" hidden="false" customHeight="false" outlineLevel="0" collapsed="false">
      <c r="B8" s="6" t="s">
        <v>8</v>
      </c>
      <c r="C8" s="7" t="n">
        <f aca="false">Balance!D21</f>
        <v>92959.82</v>
      </c>
      <c r="D8" s="2" t="s">
        <v>9</v>
      </c>
    </row>
    <row r="9" customFormat="false" ht="15" hidden="false" customHeight="false" outlineLevel="0" collapsed="false">
      <c r="B9" s="6" t="s">
        <v>10</v>
      </c>
      <c r="C9" s="7" t="n">
        <f aca="false">Balance!D20</f>
        <v>52415.82</v>
      </c>
      <c r="D9" s="2" t="s">
        <v>11</v>
      </c>
    </row>
    <row r="10" customFormat="false" ht="15" hidden="false" customHeight="false" outlineLevel="0" collapsed="false">
      <c r="B10" s="6" t="s">
        <v>12</v>
      </c>
      <c r="C10" s="7" t="n">
        <f aca="false">Balance!D7</f>
        <v>32340.84</v>
      </c>
      <c r="D10" s="2" t="s">
        <v>13</v>
      </c>
    </row>
    <row r="11" customFormat="false" ht="15" hidden="false" customHeight="false" outlineLevel="0" collapsed="false">
      <c r="B11" s="6" t="s">
        <v>14</v>
      </c>
      <c r="C11" s="7" t="n">
        <f aca="false">Balance!D15</f>
        <v>4890.85</v>
      </c>
      <c r="D11" s="2" t="s">
        <v>15</v>
      </c>
    </row>
    <row r="12" customFormat="false" ht="15" hidden="false" customHeight="false" outlineLevel="0" collapsed="false">
      <c r="B12" s="6" t="s">
        <v>16</v>
      </c>
      <c r="C12" s="7" t="n">
        <f aca="false">Balance!D24</f>
        <v>67535.82</v>
      </c>
      <c r="D12" s="2" t="s">
        <v>17</v>
      </c>
    </row>
    <row r="13" customFormat="false" ht="15" hidden="false" customHeight="false" outlineLevel="0" collapsed="false">
      <c r="B13" s="6" t="s">
        <v>18</v>
      </c>
      <c r="C13" s="7" t="n">
        <f aca="false">Balance!D36</f>
        <v>24498.06</v>
      </c>
      <c r="D13" s="2" t="s">
        <v>19</v>
      </c>
    </row>
    <row r="14" customFormat="false" ht="15" hidden="false" customHeight="false" outlineLevel="0" collapsed="false">
      <c r="B14" s="6" t="s">
        <v>20</v>
      </c>
      <c r="C14" s="7" t="n">
        <f aca="false">PyG!H8</f>
        <v>1737.73</v>
      </c>
      <c r="D14" s="2" t="s">
        <v>21</v>
      </c>
    </row>
    <row r="15" customFormat="false" ht="15" hidden="false" customHeight="false" outlineLevel="0" collapsed="false">
      <c r="B15" s="6" t="s">
        <v>22</v>
      </c>
      <c r="C15" s="7" t="n">
        <f aca="false">PyG!H26</f>
        <v>-7782.79</v>
      </c>
      <c r="D15" s="2" t="s">
        <v>23</v>
      </c>
    </row>
    <row r="17" customFormat="false" ht="15" hidden="false" customHeight="false" outlineLevel="0" collapsed="false">
      <c r="A17" s="5"/>
      <c r="B17" s="5" t="s">
        <v>24</v>
      </c>
      <c r="C17" s="5" t="s">
        <v>25</v>
      </c>
      <c r="D17" s="5" t="s">
        <v>26</v>
      </c>
    </row>
    <row r="18" customFormat="false" ht="15" hidden="false" customHeight="false" outlineLevel="0" collapsed="false">
      <c r="B18" s="6" t="s">
        <v>27</v>
      </c>
      <c r="C18" s="7" t="n">
        <f aca="false">Balance!D21-Balance!D41</f>
        <v>0</v>
      </c>
      <c r="D18" s="8" t="str">
        <f aca="false">IF(ABS(C18)&lt;0.01,"OK","ERROR - revisar")</f>
        <v>OK</v>
      </c>
    </row>
    <row r="19" customFormat="false" ht="15" hidden="false" customHeight="false" outlineLevel="0" collapsed="false">
      <c r="B19" s="6" t="s">
        <v>28</v>
      </c>
      <c r="C19" s="7" t="n">
        <f aca="false">Diario!F231-Diario!G231</f>
        <v>0</v>
      </c>
      <c r="D19" s="8" t="str">
        <f aca="false">IF(ABS(C19)&lt;0.01,"OK","ERROR - revisar")</f>
        <v>OK</v>
      </c>
    </row>
    <row r="20" customFormat="false" ht="15" hidden="false" customHeight="false" outlineLevel="0" collapsed="false">
      <c r="B20" s="6" t="s">
        <v>29</v>
      </c>
      <c r="C20" s="7" t="n">
        <f aca="false">PyG!H26-Balance!D29</f>
        <v>0</v>
      </c>
      <c r="D20" s="8" t="str">
        <f aca="false">IF(ABS(C20)&lt;0.01,"OK","ERROR - revisar")</f>
        <v>OK</v>
      </c>
    </row>
    <row r="21" customFormat="false" ht="15" hidden="false" customHeight="false" outlineLevel="0" collapsed="false">
      <c r="B21" s="6" t="s">
        <v>30</v>
      </c>
      <c r="C21" s="7" t="n">
        <f aca="false">Balance!C21-75318.61</f>
        <v>0</v>
      </c>
      <c r="D21" s="8" t="str">
        <f aca="false">IF(ABS(C21)&lt;0.01,"OK","ERROR - revisar")</f>
        <v>OK</v>
      </c>
    </row>
    <row r="23" customFormat="false" ht="15" hidden="false" customHeight="false" outlineLevel="0" collapsed="false">
      <c r="A23" s="5"/>
      <c r="B23" s="5" t="s">
        <v>31</v>
      </c>
      <c r="C23" s="5"/>
      <c r="D23" s="5"/>
    </row>
    <row r="24" customFormat="false" ht="15" hidden="false" customHeight="false" outlineLevel="0" collapsed="false">
      <c r="B24" s="8" t="s">
        <v>32</v>
      </c>
      <c r="D24" s="6" t="s">
        <v>33</v>
      </c>
    </row>
    <row r="25" customFormat="false" ht="15" hidden="false" customHeight="false" outlineLevel="0" collapsed="false">
      <c r="B25" s="8" t="s">
        <v>34</v>
      </c>
      <c r="D25" s="6" t="s">
        <v>35</v>
      </c>
    </row>
    <row r="26" customFormat="false" ht="15" hidden="false" customHeight="false" outlineLevel="0" collapsed="false">
      <c r="B26" s="8" t="s">
        <v>36</v>
      </c>
      <c r="D26" s="6" t="s">
        <v>37</v>
      </c>
    </row>
    <row r="27" customFormat="false" ht="15" hidden="false" customHeight="false" outlineLevel="0" collapsed="false">
      <c r="B27" s="8" t="s">
        <v>38</v>
      </c>
      <c r="D27" s="6" t="s">
        <v>39</v>
      </c>
    </row>
    <row r="28" customFormat="false" ht="15" hidden="false" customHeight="false" outlineLevel="0" collapsed="false">
      <c r="B28" s="8" t="s">
        <v>40</v>
      </c>
      <c r="D28" s="6" t="s">
        <v>41</v>
      </c>
    </row>
    <row r="29" customFormat="false" ht="15" hidden="false" customHeight="false" outlineLevel="0" collapsed="false">
      <c r="B29" s="8" t="s">
        <v>42</v>
      </c>
      <c r="D29" s="6" t="s">
        <v>43</v>
      </c>
    </row>
    <row r="30" customFormat="false" ht="15" hidden="false" customHeight="false" outlineLevel="0" collapsed="false">
      <c r="B30" s="8" t="s">
        <v>44</v>
      </c>
      <c r="D30" s="6" t="s">
        <v>45</v>
      </c>
    </row>
    <row r="31" customFormat="false" ht="15" hidden="false" customHeight="false" outlineLevel="0" collapsed="false">
      <c r="B31" s="8" t="s">
        <v>46</v>
      </c>
      <c r="D31" s="6" t="s">
        <v>47</v>
      </c>
    </row>
    <row r="33" customFormat="false" ht="15" hidden="false" customHeight="false" outlineLevel="0" collapsed="false">
      <c r="B33" s="8" t="s">
        <v>48</v>
      </c>
    </row>
    <row r="34" customFormat="false" ht="15" hidden="false" customHeight="false" outlineLevel="0" collapsed="false">
      <c r="B34" s="9" t="s">
        <v>49</v>
      </c>
    </row>
    <row r="35" customFormat="false" ht="15" hidden="false" customHeight="false" outlineLevel="0" collapsed="false">
      <c r="B35" s="6" t="s">
        <v>50</v>
      </c>
    </row>
    <row r="36" customFormat="false" ht="15" hidden="false" customHeight="false" outlineLevel="0" collapsed="false">
      <c r="B36" s="10" t="s">
        <v>51</v>
      </c>
    </row>
    <row r="37" customFormat="false" ht="15" hidden="false" customHeight="false" outlineLevel="0" collapsed="false">
      <c r="B37" s="11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4" min="3" style="0" width="16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5"/>
      <c r="B4" s="5" t="s">
        <v>55</v>
      </c>
      <c r="C4" s="12" t="n">
        <f aca="false">FechaComparativa</f>
        <v>46022</v>
      </c>
      <c r="D4" s="12" t="n">
        <f aca="false">FechaCorte</f>
        <v>46287</v>
      </c>
    </row>
    <row r="5" customFormat="false" ht="15" hidden="false" customHeight="false" outlineLevel="0" collapsed="false">
      <c r="A5" s="13" t="s">
        <v>56</v>
      </c>
      <c r="B5" s="14" t="s">
        <v>57</v>
      </c>
      <c r="C5" s="15" t="n">
        <f aca="false">C6+C7+C11</f>
        <v>9192</v>
      </c>
      <c r="D5" s="15" t="n">
        <f aca="false">D6+D7+D11</f>
        <v>32340.84</v>
      </c>
    </row>
    <row r="6" customFormat="false" ht="15" hidden="false" customHeight="false" outlineLevel="0" collapsed="false">
      <c r="A6" s="16" t="s">
        <v>58</v>
      </c>
      <c r="B6" s="17" t="s">
        <v>59</v>
      </c>
      <c r="C6" s="18" t="n">
        <f aca="false">SUMIFS(Diario!$K$2:$K$229,Diario!$L$2:$L$229,"AI",Diario!$B$2:$B$229,"&lt;="&amp;C$4)</f>
        <v>0</v>
      </c>
      <c r="D6" s="18" t="n">
        <f aca="false">SUMIFS(Diario!$K$2:$K$229,Diario!$L$2:$L$229,"AI",Diario!$B$2:$B$229,"&lt;="&amp;D$4)</f>
        <v>0</v>
      </c>
    </row>
    <row r="7" customFormat="false" ht="15" hidden="false" customHeight="false" outlineLevel="0" collapsed="false">
      <c r="A7" s="16" t="s">
        <v>60</v>
      </c>
      <c r="B7" s="17" t="s">
        <v>61</v>
      </c>
      <c r="C7" s="18" t="n">
        <f aca="false">C8+C9+C10</f>
        <v>9192</v>
      </c>
      <c r="D7" s="18" t="n">
        <f aca="false">D8+D9+D10</f>
        <v>32340.84</v>
      </c>
    </row>
    <row r="8" customFormat="false" ht="15" hidden="false" customHeight="false" outlineLevel="0" collapsed="false">
      <c r="A8" s="16" t="s">
        <v>62</v>
      </c>
      <c r="B8" s="19" t="s">
        <v>63</v>
      </c>
      <c r="C8" s="18" t="n">
        <f aca="false">SUMIFS(Diario!$K$2:$K$229,Diario!$L$2:$L$229,"AII1",Diario!$B$2:$B$229,"&lt;="&amp;C$4)</f>
        <v>0</v>
      </c>
      <c r="D8" s="18" t="n">
        <f aca="false">SUMIFS(Diario!$K$2:$K$229,Diario!$L$2:$L$229,"AII1",Diario!$B$2:$B$229,"&lt;="&amp;D$4)</f>
        <v>33790.93</v>
      </c>
    </row>
    <row r="9" customFormat="false" ht="15" hidden="false" customHeight="false" outlineLevel="0" collapsed="false">
      <c r="A9" s="16" t="s">
        <v>64</v>
      </c>
      <c r="B9" s="19" t="s">
        <v>65</v>
      </c>
      <c r="C9" s="18" t="n">
        <f aca="false">SUMIFS(Diario!$K$2:$K$229,Diario!$L$2:$L$229,"AII2",Diario!$B$2:$B$229,"&lt;="&amp;C$4)</f>
        <v>9192</v>
      </c>
      <c r="D9" s="18" t="n">
        <f aca="false">SUMIFS(Diario!$K$2:$K$229,Diario!$L$2:$L$229,"AII2",Diario!$B$2:$B$229,"&lt;="&amp;D$4)</f>
        <v>0</v>
      </c>
    </row>
    <row r="10" customFormat="false" ht="15" hidden="false" customHeight="false" outlineLevel="0" collapsed="false">
      <c r="A10" s="16" t="s">
        <v>66</v>
      </c>
      <c r="B10" s="19" t="s">
        <v>67</v>
      </c>
      <c r="C10" s="18" t="n">
        <f aca="false">SUMIFS(Diario!$K$2:$K$229,Diario!$L$2:$L$229,"AII3",Diario!$B$2:$B$229,"&lt;="&amp;C$4)</f>
        <v>0</v>
      </c>
      <c r="D10" s="18" t="n">
        <f aca="false">SUMIFS(Diario!$K$2:$K$229,Diario!$L$2:$L$229,"AII3",Diario!$B$2:$B$229,"&lt;="&amp;D$4)</f>
        <v>-1450.09</v>
      </c>
    </row>
    <row r="11" customFormat="false" ht="15" hidden="false" customHeight="false" outlineLevel="0" collapsed="false">
      <c r="A11" s="16" t="s">
        <v>68</v>
      </c>
      <c r="B11" s="17" t="s">
        <v>69</v>
      </c>
      <c r="C11" s="18" t="n">
        <f aca="false">SUMIFS(Diario!$K$2:$K$229,Diario!$L$2:$L$229,"AV",Diario!$B$2:$B$229,"&lt;="&amp;C$4)</f>
        <v>0</v>
      </c>
      <c r="D11" s="18" t="n">
        <f aca="false">SUMIFS(Diario!$K$2:$K$229,Diario!$L$2:$L$229,"AV",Diario!$B$2:$B$229,"&lt;="&amp;D$4)</f>
        <v>0</v>
      </c>
    </row>
    <row r="12" customFormat="false" ht="15" hidden="false" customHeight="false" outlineLevel="0" collapsed="false">
      <c r="A12" s="13" t="s">
        <v>70</v>
      </c>
      <c r="B12" s="14" t="s">
        <v>71</v>
      </c>
      <c r="C12" s="15" t="n">
        <f aca="false">C13+C14+C19+C20</f>
        <v>66126.61</v>
      </c>
      <c r="D12" s="15" t="n">
        <f aca="false">D13+D14+D19+D20</f>
        <v>60618.98</v>
      </c>
    </row>
    <row r="13" customFormat="false" ht="15" hidden="false" customHeight="false" outlineLevel="0" collapsed="false">
      <c r="A13" s="16" t="s">
        <v>72</v>
      </c>
      <c r="B13" s="17" t="s">
        <v>73</v>
      </c>
      <c r="C13" s="18" t="n">
        <f aca="false">SUMIFS(Diario!$K$2:$K$229,Diario!$L$2:$L$229,"BII",Diario!$B$2:$B$229,"&lt;="&amp;C$4)</f>
        <v>0</v>
      </c>
      <c r="D13" s="18" t="n">
        <f aca="false">SUMIFS(Diario!$K$2:$K$229,Diario!$L$2:$L$229,"BII",Diario!$B$2:$B$229,"&lt;="&amp;D$4)</f>
        <v>0</v>
      </c>
    </row>
    <row r="14" customFormat="false" ht="15" hidden="false" customHeight="false" outlineLevel="0" collapsed="false">
      <c r="A14" s="16" t="s">
        <v>74</v>
      </c>
      <c r="B14" s="17" t="s">
        <v>75</v>
      </c>
      <c r="C14" s="18" t="n">
        <f aca="false">C15+C16+C17+C18</f>
        <v>0</v>
      </c>
      <c r="D14" s="18" t="n">
        <f aca="false">D15+D16+D17+D18</f>
        <v>8203.16</v>
      </c>
    </row>
    <row r="15" customFormat="false" ht="15" hidden="false" customHeight="false" outlineLevel="0" collapsed="false">
      <c r="A15" s="16" t="s">
        <v>76</v>
      </c>
      <c r="B15" s="19" t="s">
        <v>77</v>
      </c>
      <c r="C15" s="18" t="n">
        <f aca="false">SUMIFS(Diario!$K$2:$K$229,Diario!$L$2:$L$229,"BIII1",Diario!$B$2:$B$229,"&lt;="&amp;C$4)</f>
        <v>0</v>
      </c>
      <c r="D15" s="18" t="n">
        <f aca="false">SUMIFS(Diario!$K$2:$K$229,Diario!$L$2:$L$229,"BIII1",Diario!$B$2:$B$229,"&lt;="&amp;D$4)</f>
        <v>4890.85</v>
      </c>
    </row>
    <row r="16" customFormat="false" ht="15" hidden="false" customHeight="false" outlineLevel="0" collapsed="false">
      <c r="A16" s="16" t="s">
        <v>78</v>
      </c>
      <c r="B16" s="19" t="s">
        <v>79</v>
      </c>
      <c r="C16" s="18" t="n">
        <f aca="false">SUMIFS(Diario!$K$2:$K$229,Diario!$L$2:$L$229,"BIII2",Diario!$B$2:$B$229,"&lt;="&amp;C$4)</f>
        <v>0</v>
      </c>
      <c r="D16" s="18" t="n">
        <f aca="false">SUMIFS(Diario!$K$2:$K$229,Diario!$L$2:$L$229,"BIII2",Diario!$B$2:$B$229,"&lt;="&amp;D$4)</f>
        <v>3312.31</v>
      </c>
    </row>
    <row r="17" customFormat="false" ht="15" hidden="false" customHeight="false" outlineLevel="0" collapsed="false">
      <c r="A17" s="16" t="s">
        <v>80</v>
      </c>
      <c r="B17" s="19" t="s">
        <v>81</v>
      </c>
      <c r="C17" s="18" t="n">
        <f aca="false">MAX(0,SUMIFS(Diario!$K$2:$K$229,Diario!$L$2:$L$229,"D551",Diario!$B$2:$B$229,"&lt;="&amp;C$4))</f>
        <v>0</v>
      </c>
      <c r="D17" s="18" t="n">
        <f aca="false">MAX(0,SUMIFS(Diario!$K$2:$K$229,Diario!$L$2:$L$229,"D551",Diario!$B$2:$B$229,"&lt;="&amp;D$4))</f>
        <v>0</v>
      </c>
    </row>
    <row r="18" customFormat="false" ht="15" hidden="false" customHeight="false" outlineLevel="0" collapsed="false">
      <c r="A18" s="16" t="s">
        <v>82</v>
      </c>
      <c r="B18" s="19" t="s">
        <v>83</v>
      </c>
      <c r="C18" s="18" t="n">
        <f aca="false">MAX(0,SUMIFS(Diario!$K$2:$K$229,Diario!$L$2:$L$229,"D555",Diario!$B$2:$B$229,"&lt;="&amp;C$4))</f>
        <v>0</v>
      </c>
      <c r="D18" s="18" t="n">
        <f aca="false">MAX(0,SUMIFS(Diario!$K$2:$K$229,Diario!$L$2:$L$229,"D555",Diario!$B$2:$B$229,"&lt;="&amp;D$4))</f>
        <v>0</v>
      </c>
    </row>
    <row r="19" customFormat="false" ht="15" hidden="false" customHeight="false" outlineLevel="0" collapsed="false">
      <c r="A19" s="16" t="s">
        <v>84</v>
      </c>
      <c r="B19" s="17" t="s">
        <v>85</v>
      </c>
      <c r="C19" s="18" t="n">
        <f aca="false">SUMIFS(Diario!$K$2:$K$229,Diario!$L$2:$L$229,"BVI",Diario!$B$2:$B$229,"&lt;="&amp;C$4)</f>
        <v>0</v>
      </c>
      <c r="D19" s="18" t="n">
        <f aca="false">SUMIFS(Diario!$K$2:$K$229,Diario!$L$2:$L$229,"BVI",Diario!$B$2:$B$229,"&lt;="&amp;D$4)</f>
        <v>0</v>
      </c>
    </row>
    <row r="20" customFormat="false" ht="15" hidden="false" customHeight="false" outlineLevel="0" collapsed="false">
      <c r="A20" s="16" t="s">
        <v>86</v>
      </c>
      <c r="B20" s="17" t="s">
        <v>87</v>
      </c>
      <c r="C20" s="18" t="n">
        <f aca="false">SUMIFS(Diario!$K$2:$K$229,Diario!$L$2:$L$229,"BVII",Diario!$B$2:$B$229,"&lt;="&amp;C$4)</f>
        <v>66126.61</v>
      </c>
      <c r="D20" s="18" t="n">
        <f aca="false">SUMIFS(Diario!$K$2:$K$229,Diario!$L$2:$L$229,"BVII",Diario!$B$2:$B$229,"&lt;="&amp;D$4)</f>
        <v>52415.82</v>
      </c>
    </row>
    <row r="21" customFormat="false" ht="15" hidden="false" customHeight="false" outlineLevel="0" collapsed="false">
      <c r="A21" s="20" t="s">
        <v>88</v>
      </c>
      <c r="B21" s="21" t="s">
        <v>89</v>
      </c>
      <c r="C21" s="22" t="n">
        <f aca="false">C5+C12</f>
        <v>75318.61</v>
      </c>
      <c r="D21" s="22" t="n">
        <f aca="false">D5+D12</f>
        <v>92959.82</v>
      </c>
    </row>
    <row r="23" customFormat="false" ht="15" hidden="false" customHeight="false" outlineLevel="0" collapsed="false">
      <c r="A23" s="5"/>
      <c r="B23" s="5" t="s">
        <v>90</v>
      </c>
      <c r="C23" s="12" t="n">
        <f aca="false">FechaComparativa</f>
        <v>46022</v>
      </c>
      <c r="D23" s="12" t="n">
        <f aca="false">FechaCorte</f>
        <v>46287</v>
      </c>
    </row>
    <row r="24" customFormat="false" ht="15" hidden="false" customHeight="false" outlineLevel="0" collapsed="false">
      <c r="A24" s="13" t="s">
        <v>91</v>
      </c>
      <c r="B24" s="14" t="s">
        <v>92</v>
      </c>
      <c r="C24" s="15" t="n">
        <f aca="false">C25+C26+C27+C28+C29</f>
        <v>75318.61</v>
      </c>
      <c r="D24" s="15" t="n">
        <f aca="false">D25+D26+D27+D28+D29</f>
        <v>67535.82</v>
      </c>
    </row>
    <row r="25" customFormat="false" ht="15" hidden="false" customHeight="false" outlineLevel="0" collapsed="false">
      <c r="A25" s="16" t="s">
        <v>93</v>
      </c>
      <c r="B25" s="17" t="s">
        <v>94</v>
      </c>
      <c r="C25" s="18" t="n">
        <f aca="false">-SUMIFS(Diario!$K$2:$K$229,Diario!$L$2:$L$229,"PAI",Diario!$B$2:$B$229,"&lt;="&amp;C$4)</f>
        <v>3100</v>
      </c>
      <c r="D25" s="18" t="n">
        <f aca="false">-SUMIFS(Diario!$K$2:$K$229,Diario!$L$2:$L$229,"PAI",Diario!$B$2:$B$229,"&lt;="&amp;D$4)</f>
        <v>3100</v>
      </c>
    </row>
    <row r="26" customFormat="false" ht="15" hidden="false" customHeight="false" outlineLevel="0" collapsed="false">
      <c r="A26" s="16" t="s">
        <v>95</v>
      </c>
      <c r="B26" s="17" t="s">
        <v>96</v>
      </c>
      <c r="C26" s="18" t="n">
        <f aca="false">-SUMIFS(Diario!$K$2:$K$229,Diario!$L$2:$L$229,"PAIII",Diario!$B$2:$B$229,"&lt;="&amp;C$4)</f>
        <v>-0</v>
      </c>
      <c r="D26" s="18" t="n">
        <f aca="false">-SUMIFS(Diario!$K$2:$K$229,Diario!$L$2:$L$229,"PAIII",Diario!$B$2:$B$229,"&lt;="&amp;D$4)</f>
        <v>6.49</v>
      </c>
    </row>
    <row r="27" customFormat="false" ht="15" hidden="false" customHeight="false" outlineLevel="0" collapsed="false">
      <c r="A27" s="16" t="s">
        <v>97</v>
      </c>
      <c r="B27" s="17" t="s">
        <v>98</v>
      </c>
      <c r="C27" s="18" t="n">
        <f aca="false">-SUMIFS(Diario!$K$2:$K$229,Diario!$L$2:$L$229,"PAV",Diario!$B$2:$B$229,"&lt;="&amp;C$4)</f>
        <v>-0</v>
      </c>
      <c r="D27" s="18" t="n">
        <f aca="false">-SUMIFS(Diario!$K$2:$K$229,Diario!$L$2:$L$229,"PAV",Diario!$B$2:$B$229,"&lt;="&amp;D$4)</f>
        <v>58.39</v>
      </c>
    </row>
    <row r="28" customFormat="false" ht="15" hidden="false" customHeight="false" outlineLevel="0" collapsed="false">
      <c r="A28" s="16" t="s">
        <v>99</v>
      </c>
      <c r="B28" s="17" t="s">
        <v>100</v>
      </c>
      <c r="C28" s="18" t="n">
        <f aca="false">-SUMIFS(Diario!$K$2:$K$229,Diario!$L$2:$L$229,"PAVI",Diario!$B$2:$B$229,"&lt;="&amp;C$4)</f>
        <v>72153.73</v>
      </c>
      <c r="D28" s="18" t="n">
        <f aca="false">-SUMIFS(Diario!$K$2:$K$229,Diario!$L$2:$L$229,"PAVI",Diario!$B$2:$B$229,"&lt;="&amp;D$4)</f>
        <v>72153.73</v>
      </c>
    </row>
    <row r="29" customFormat="false" ht="15" hidden="false" customHeight="false" outlineLevel="0" collapsed="false">
      <c r="A29" s="16" t="s">
        <v>101</v>
      </c>
      <c r="B29" s="17" t="s">
        <v>102</v>
      </c>
      <c r="C29" s="18" t="n">
        <f aca="false">-SUMIFS(Diario!$K$2:$K$229,Diario!$L$2:$L$229,"PAVII",Diario!$B$2:$B$229,"&lt;="&amp;C$4)</f>
        <v>64.88</v>
      </c>
      <c r="D29" s="18" t="n">
        <f aca="false">-SUMIFS(Diario!$K$2:$K$229,Diario!$L$2:$L$229,"PAVII",Diario!$B$2:$B$229,"&lt;="&amp;D$4)</f>
        <v>-7782.79</v>
      </c>
    </row>
    <row r="30" customFormat="false" ht="15" hidden="false" customHeight="false" outlineLevel="0" collapsed="false">
      <c r="A30" s="13" t="s">
        <v>103</v>
      </c>
      <c r="B30" s="14" t="s">
        <v>104</v>
      </c>
      <c r="C30" s="15" t="n">
        <f aca="false">C31</f>
        <v>-0</v>
      </c>
      <c r="D30" s="15" t="n">
        <f aca="false">D31</f>
        <v>-0</v>
      </c>
    </row>
    <row r="31" customFormat="false" ht="15" hidden="false" customHeight="false" outlineLevel="0" collapsed="false">
      <c r="A31" s="16" t="s">
        <v>105</v>
      </c>
      <c r="B31" s="17" t="s">
        <v>106</v>
      </c>
      <c r="C31" s="18" t="n">
        <f aca="false">-SUMIFS(Diario!$K$2:$K$229,Diario!$L$2:$L$229,"PBII",Diario!$B$2:$B$229,"&lt;="&amp;C$4)</f>
        <v>-0</v>
      </c>
      <c r="D31" s="18" t="n">
        <f aca="false">-SUMIFS(Diario!$K$2:$K$229,Diario!$L$2:$L$229,"PBII",Diario!$B$2:$B$229,"&lt;="&amp;D$4)</f>
        <v>-0</v>
      </c>
    </row>
    <row r="32" customFormat="false" ht="15" hidden="false" customHeight="false" outlineLevel="0" collapsed="false">
      <c r="A32" s="13" t="s">
        <v>107</v>
      </c>
      <c r="B32" s="14" t="s">
        <v>108</v>
      </c>
      <c r="C32" s="15" t="n">
        <f aca="false">C33+C37</f>
        <v>-0</v>
      </c>
      <c r="D32" s="15" t="n">
        <f aca="false">D33+D37</f>
        <v>25424</v>
      </c>
    </row>
    <row r="33" customFormat="false" ht="15" hidden="false" customHeight="false" outlineLevel="0" collapsed="false">
      <c r="A33" s="16" t="s">
        <v>109</v>
      </c>
      <c r="B33" s="17" t="s">
        <v>110</v>
      </c>
      <c r="C33" s="18" t="n">
        <f aca="false">C34+C35+C36</f>
        <v>-0</v>
      </c>
      <c r="D33" s="18" t="n">
        <f aca="false">D34+D35+D36</f>
        <v>24498.06</v>
      </c>
    </row>
    <row r="34" customFormat="false" ht="15" hidden="false" customHeight="false" outlineLevel="0" collapsed="false">
      <c r="A34" s="16" t="s">
        <v>111</v>
      </c>
      <c r="B34" s="19" t="s">
        <v>112</v>
      </c>
      <c r="C34" s="18" t="n">
        <f aca="false">-SUMIFS(Diario!$K$2:$K$229,Diario!$L$2:$L$229,"PCIII1",Diario!$B$2:$B$229,"&lt;="&amp;C$4)</f>
        <v>-0</v>
      </c>
      <c r="D34" s="18" t="n">
        <f aca="false">-SUMIFS(Diario!$K$2:$K$229,Diario!$L$2:$L$229,"PCIII1",Diario!$B$2:$B$229,"&lt;="&amp;D$4)</f>
        <v>-0</v>
      </c>
    </row>
    <row r="35" customFormat="false" ht="15" hidden="false" customHeight="false" outlineLevel="0" collapsed="false">
      <c r="A35" s="16" t="s">
        <v>113</v>
      </c>
      <c r="B35" s="19" t="s">
        <v>114</v>
      </c>
      <c r="C35" s="18" t="n">
        <f aca="false">MAX(0,-SUMIFS(Diario!$K$2:$K$229,Diario!$L$2:$L$229,"D551",Diario!$B$2:$B$229,"&lt;="&amp;C$4))</f>
        <v>-0</v>
      </c>
      <c r="D35" s="18" t="n">
        <f aca="false">MAX(0,-SUMIFS(Diario!$K$2:$K$229,Diario!$L$2:$L$229,"D551",Diario!$B$2:$B$229,"&lt;="&amp;D$4))</f>
        <v>-0</v>
      </c>
    </row>
    <row r="36" customFormat="false" ht="15" hidden="false" customHeight="false" outlineLevel="0" collapsed="false">
      <c r="A36" s="16" t="s">
        <v>115</v>
      </c>
      <c r="B36" s="19" t="s">
        <v>116</v>
      </c>
      <c r="C36" s="18" t="n">
        <f aca="false">MAX(0,-SUMIFS(Diario!$K$2:$K$229,Diario!$L$2:$L$229,"D555",Diario!$B$2:$B$229,"&lt;="&amp;C$4))</f>
        <v>-0</v>
      </c>
      <c r="D36" s="18" t="n">
        <f aca="false">MAX(0,-SUMIFS(Diario!$K$2:$K$229,Diario!$L$2:$L$229,"D555",Diario!$B$2:$B$229,"&lt;="&amp;D$4))</f>
        <v>24498.06</v>
      </c>
    </row>
    <row r="37" customFormat="false" ht="15" hidden="false" customHeight="false" outlineLevel="0" collapsed="false">
      <c r="A37" s="16" t="s">
        <v>117</v>
      </c>
      <c r="B37" s="17" t="s">
        <v>118</v>
      </c>
      <c r="C37" s="18" t="n">
        <f aca="false">C38+C39+C40</f>
        <v>-0</v>
      </c>
      <c r="D37" s="18" t="n">
        <f aca="false">D38+D39+D40</f>
        <v>925.94</v>
      </c>
    </row>
    <row r="38" customFormat="false" ht="15" hidden="false" customHeight="false" outlineLevel="0" collapsed="false">
      <c r="A38" s="16" t="s">
        <v>119</v>
      </c>
      <c r="B38" s="19" t="s">
        <v>120</v>
      </c>
      <c r="C38" s="18" t="n">
        <f aca="false">-SUMIFS(Diario!$K$2:$K$229,Diario!$L$2:$L$229,"PCV1",Diario!$B$2:$B$229,"&lt;="&amp;C$4)</f>
        <v>-0</v>
      </c>
      <c r="D38" s="18" t="n">
        <f aca="false">-SUMIFS(Diario!$K$2:$K$229,Diario!$L$2:$L$229,"PCV1",Diario!$B$2:$B$229,"&lt;="&amp;D$4)</f>
        <v>640.95</v>
      </c>
    </row>
    <row r="39" customFormat="false" ht="15" hidden="false" customHeight="false" outlineLevel="0" collapsed="false">
      <c r="A39" s="16" t="s">
        <v>121</v>
      </c>
      <c r="B39" s="19" t="s">
        <v>122</v>
      </c>
      <c r="C39" s="18" t="n">
        <f aca="false">-SUMIFS(Diario!$K$2:$K$229,Diario!$L$2:$L$229,"PCV2",Diario!$B$2:$B$229,"&lt;="&amp;C$4)</f>
        <v>-0</v>
      </c>
      <c r="D39" s="18" t="n">
        <f aca="false">-SUMIFS(Diario!$K$2:$K$229,Diario!$L$2:$L$229,"PCV2",Diario!$B$2:$B$229,"&lt;="&amp;D$4)</f>
        <v>284.99</v>
      </c>
    </row>
    <row r="40" customFormat="false" ht="15" hidden="false" customHeight="false" outlineLevel="0" collapsed="false">
      <c r="A40" s="16" t="s">
        <v>123</v>
      </c>
      <c r="B40" s="19" t="s">
        <v>124</v>
      </c>
      <c r="C40" s="18" t="n">
        <f aca="false">-SUMIFS(Diario!$K$2:$K$229,Diario!$L$2:$L$229,"PCV3",Diario!$B$2:$B$229,"&lt;="&amp;C$4)</f>
        <v>-0</v>
      </c>
      <c r="D40" s="18" t="n">
        <f aca="false">-SUMIFS(Diario!$K$2:$K$229,Diario!$L$2:$L$229,"PCV3",Diario!$B$2:$B$229,"&lt;="&amp;D$4)</f>
        <v>-0</v>
      </c>
    </row>
    <row r="41" customFormat="false" ht="15" hidden="false" customHeight="false" outlineLevel="0" collapsed="false">
      <c r="A41" s="20" t="s">
        <v>125</v>
      </c>
      <c r="B41" s="21" t="s">
        <v>126</v>
      </c>
      <c r="C41" s="22" t="n">
        <f aca="false">C24+C30+C32</f>
        <v>75318.61</v>
      </c>
      <c r="D41" s="22" t="n">
        <f aca="false">D24+D30+D32</f>
        <v>92959.82</v>
      </c>
    </row>
    <row r="43" customFormat="false" ht="15" hidden="false" customHeight="false" outlineLevel="0" collapsed="false">
      <c r="B43" s="8" t="s">
        <v>127</v>
      </c>
      <c r="C43" s="23" t="n">
        <f aca="false">C21-C41</f>
        <v>0</v>
      </c>
      <c r="D43" s="23" t="n">
        <f aca="false">D21-D41</f>
        <v>0</v>
      </c>
    </row>
    <row r="44" customFormat="false" ht="15" hidden="false" customHeight="false" outlineLevel="0" collapsed="false">
      <c r="B44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7" min="3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23.85" hidden="false" customHeight="false" outlineLevel="0" collapsed="false">
      <c r="A4" s="5"/>
      <c r="B4" s="5"/>
      <c r="C4" s="5" t="s">
        <v>131</v>
      </c>
      <c r="D4" s="5" t="str">
        <f aca="false">"T1 "&amp;YEAR(FechaCorte)</f>
        <v>T1 2026</v>
      </c>
      <c r="E4" s="5" t="str">
        <f aca="false">"T2 "&amp;YEAR(FechaCorte)</f>
        <v>T2 2026</v>
      </c>
      <c r="F4" s="5" t="str">
        <f aca="false">"T3 "&amp;YEAR(FechaCorte)</f>
        <v>T3 2026</v>
      </c>
      <c r="G4" s="5" t="str">
        <f aca="false">"T4 "&amp;YEAR(FechaCorte)</f>
        <v>T4 2026</v>
      </c>
      <c r="H4" s="5" t="s">
        <v>132</v>
      </c>
    </row>
    <row r="5" customFormat="false" ht="15" hidden="false" customHeight="false" outlineLevel="0" collapsed="false">
      <c r="B5" s="2" t="s">
        <v>133</v>
      </c>
      <c r="C5" s="2" t="s">
        <v>134</v>
      </c>
      <c r="D5" s="24" t="n">
        <f aca="false">DATE(YEAR(FechaCorte),1,1)</f>
        <v>46023</v>
      </c>
      <c r="E5" s="24" t="n">
        <f aca="false">DATE(YEAR(FechaCorte),4,1)</f>
        <v>46113</v>
      </c>
      <c r="F5" s="24" t="n">
        <f aca="false">DATE(YEAR(FechaCorte),7,1)</f>
        <v>46204</v>
      </c>
      <c r="G5" s="24" t="n">
        <f aca="false">DATE(YEAR(FechaCorte),10,1)</f>
        <v>46296</v>
      </c>
      <c r="H5" s="24" t="n">
        <f aca="false">DATE(YEAR(FechaCorte),1,1)</f>
        <v>46023</v>
      </c>
    </row>
    <row r="6" customFormat="false" ht="15" hidden="false" customHeight="false" outlineLevel="0" collapsed="false">
      <c r="B6" s="2" t="s">
        <v>135</v>
      </c>
      <c r="C6" s="2" t="s">
        <v>136</v>
      </c>
      <c r="D6" s="24" t="n">
        <f aca="false">MIN(DATE(YEAR(FechaCorte),4,1)-1,FechaCorte)</f>
        <v>46112</v>
      </c>
      <c r="E6" s="24" t="n">
        <f aca="false">MIN(DATE(YEAR(FechaCorte),7,1)-1,FechaCorte)</f>
        <v>46203</v>
      </c>
      <c r="F6" s="24" t="n">
        <f aca="false">MIN(DATE(YEAR(FechaCorte),10,1)-1,FechaCorte)</f>
        <v>46287</v>
      </c>
      <c r="G6" s="24" t="n">
        <f aca="false">MIN(DATE(YEAR(FechaCorte),13,1)-1,FechaCorte)</f>
        <v>46287</v>
      </c>
      <c r="H6" s="24" t="n">
        <f aca="false">FechaCorte</f>
        <v>46287</v>
      </c>
    </row>
    <row r="8" customFormat="false" ht="15" hidden="false" customHeight="false" outlineLevel="0" collapsed="false">
      <c r="A8" s="16" t="s">
        <v>137</v>
      </c>
      <c r="B8" s="17" t="s">
        <v>138</v>
      </c>
      <c r="C8" s="25" t="n">
        <v>2574.25</v>
      </c>
      <c r="D8" s="18" t="n">
        <f aca="false">-SUMIFS(Diario!$K$2:$K$229,Diario!$M$2:$M$229,"P1",Diario!$B$2:$B$229,"&gt;="&amp;D$5,Diario!$B$2:$B$229,"&lt;="&amp;D$6,Diario!$H$2:$H$229,"&lt;&gt;REG")</f>
        <v>-0</v>
      </c>
      <c r="E8" s="18" t="n">
        <f aca="false">-SUMIFS(Diario!$K$2:$K$229,Diario!$M$2:$M$229,"P1",Diario!$B$2:$B$229,"&gt;="&amp;E$5,Diario!$B$2:$B$229,"&lt;="&amp;E$6,Diario!$H$2:$H$229,"&lt;&gt;REG")</f>
        <v>1737.73</v>
      </c>
      <c r="F8" s="18" t="n">
        <f aca="false">-SUMIFS(Diario!$K$2:$K$229,Diario!$M$2:$M$229,"P1",Diario!$B$2:$B$229,"&gt;="&amp;F$5,Diario!$B$2:$B$229,"&lt;="&amp;F$6,Diario!$H$2:$H$229,"&lt;&gt;REG")</f>
        <v>-0</v>
      </c>
      <c r="G8" s="18" t="n">
        <f aca="false">-SUMIFS(Diario!$K$2:$K$229,Diario!$M$2:$M$229,"P1",Diario!$B$2:$B$229,"&gt;="&amp;G$5,Diario!$B$2:$B$229,"&lt;="&amp;G$6,Diario!$H$2:$H$229,"&lt;&gt;REG")</f>
        <v>-0</v>
      </c>
      <c r="H8" s="18" t="n">
        <f aca="false">-SUMIFS(Diario!$K$2:$K$229,Diario!$M$2:$M$229,"P1",Diario!$B$2:$B$229,"&gt;="&amp;H$5,Diario!$B$2:$B$229,"&lt;="&amp;H$6,Diario!$H$2:$H$229,"&lt;&gt;REG")</f>
        <v>1737.73</v>
      </c>
    </row>
    <row r="9" customFormat="false" ht="15" hidden="false" customHeight="false" outlineLevel="0" collapsed="false">
      <c r="A9" s="16" t="s">
        <v>139</v>
      </c>
      <c r="B9" s="17" t="s">
        <v>140</v>
      </c>
      <c r="C9" s="25" t="n">
        <v>0</v>
      </c>
      <c r="D9" s="18" t="n">
        <f aca="false">-SUMIFS(Diario!$K$2:$K$229,Diario!$M$2:$M$229,"P4",Diario!$B$2:$B$229,"&gt;="&amp;D$5,Diario!$B$2:$B$229,"&lt;="&amp;D$6,Diario!$H$2:$H$229,"&lt;&gt;REG")</f>
        <v>-0</v>
      </c>
      <c r="E9" s="18" t="n">
        <f aca="false">-SUMIFS(Diario!$K$2:$K$229,Diario!$M$2:$M$229,"P4",Diario!$B$2:$B$229,"&gt;="&amp;E$5,Diario!$B$2:$B$229,"&lt;="&amp;E$6,Diario!$H$2:$H$229,"&lt;&gt;REG")</f>
        <v>-0</v>
      </c>
      <c r="F9" s="18" t="n">
        <f aca="false">-SUMIFS(Diario!$K$2:$K$229,Diario!$M$2:$M$229,"P4",Diario!$B$2:$B$229,"&gt;="&amp;F$5,Diario!$B$2:$B$229,"&lt;="&amp;F$6,Diario!$H$2:$H$229,"&lt;&gt;REG")</f>
        <v>-0</v>
      </c>
      <c r="G9" s="18" t="n">
        <f aca="false">-SUMIFS(Diario!$K$2:$K$229,Diario!$M$2:$M$229,"P4",Diario!$B$2:$B$229,"&gt;="&amp;G$5,Diario!$B$2:$B$229,"&lt;="&amp;G$6,Diario!$H$2:$H$229,"&lt;&gt;REG")</f>
        <v>-0</v>
      </c>
      <c r="H9" s="18" t="n">
        <f aca="false">-SUMIFS(Diario!$K$2:$K$229,Diario!$M$2:$M$229,"P4",Diario!$B$2:$B$229,"&gt;="&amp;H$5,Diario!$B$2:$B$229,"&lt;="&amp;H$6,Diario!$H$2:$H$229,"&lt;&gt;REG")</f>
        <v>-0</v>
      </c>
    </row>
    <row r="10" customFormat="false" ht="15" hidden="false" customHeight="false" outlineLevel="0" collapsed="false">
      <c r="A10" s="16" t="s">
        <v>141</v>
      </c>
      <c r="B10" s="17" t="s">
        <v>142</v>
      </c>
      <c r="C10" s="25" t="n">
        <v>0</v>
      </c>
      <c r="D10" s="18" t="n">
        <f aca="false">-SUMIFS(Diario!$K$2:$K$229,Diario!$M$2:$M$229,"P5",Diario!$B$2:$B$229,"&gt;="&amp;D$5,Diario!$B$2:$B$229,"&lt;="&amp;D$6,Diario!$H$2:$H$229,"&lt;&gt;REG")</f>
        <v>-0</v>
      </c>
      <c r="E10" s="18" t="n">
        <f aca="false">-SUMIFS(Diario!$K$2:$K$229,Diario!$M$2:$M$229,"P5",Diario!$B$2:$B$229,"&gt;="&amp;E$5,Diario!$B$2:$B$229,"&lt;="&amp;E$6,Diario!$H$2:$H$229,"&lt;&gt;REG")</f>
        <v>-0</v>
      </c>
      <c r="F10" s="18" t="n">
        <f aca="false">-SUMIFS(Diario!$K$2:$K$229,Diario!$M$2:$M$229,"P5",Diario!$B$2:$B$229,"&gt;="&amp;F$5,Diario!$B$2:$B$229,"&lt;="&amp;F$6,Diario!$H$2:$H$229,"&lt;&gt;REG")</f>
        <v>-0</v>
      </c>
      <c r="G10" s="18" t="n">
        <f aca="false">-SUMIFS(Diario!$K$2:$K$229,Diario!$M$2:$M$229,"P5",Diario!$B$2:$B$229,"&gt;="&amp;G$5,Diario!$B$2:$B$229,"&lt;="&amp;G$6,Diario!$H$2:$H$229,"&lt;&gt;REG")</f>
        <v>-0</v>
      </c>
      <c r="H10" s="18" t="n">
        <f aca="false">-SUMIFS(Diario!$K$2:$K$229,Diario!$M$2:$M$229,"P5",Diario!$B$2:$B$229,"&gt;="&amp;H$5,Diario!$B$2:$B$229,"&lt;="&amp;H$6,Diario!$H$2:$H$229,"&lt;&gt;REG")</f>
        <v>-0</v>
      </c>
    </row>
    <row r="11" customFormat="false" ht="15" hidden="false" customHeight="false" outlineLevel="0" collapsed="false">
      <c r="A11" s="16" t="s">
        <v>143</v>
      </c>
      <c r="B11" s="17" t="s">
        <v>144</v>
      </c>
      <c r="C11" s="25" t="n">
        <v>0</v>
      </c>
      <c r="D11" s="18" t="n">
        <f aca="false">-SUMIFS(Diario!$K$2:$K$229,Diario!$M$2:$M$229,"P6",Diario!$B$2:$B$229,"&gt;="&amp;D$5,Diario!$B$2:$B$229,"&lt;="&amp;D$6,Diario!$H$2:$H$229,"&lt;&gt;REG")</f>
        <v>-0</v>
      </c>
      <c r="E11" s="18" t="n">
        <f aca="false">-SUMIFS(Diario!$K$2:$K$229,Diario!$M$2:$M$229,"P6",Diario!$B$2:$B$229,"&gt;="&amp;E$5,Diario!$B$2:$B$229,"&lt;="&amp;E$6,Diario!$H$2:$H$229,"&lt;&gt;REG")</f>
        <v>-0</v>
      </c>
      <c r="F11" s="18" t="n">
        <f aca="false">-SUMIFS(Diario!$K$2:$K$229,Diario!$M$2:$M$229,"P6",Diario!$B$2:$B$229,"&gt;="&amp;F$5,Diario!$B$2:$B$229,"&lt;="&amp;F$6,Diario!$H$2:$H$229,"&lt;&gt;REG")</f>
        <v>-0</v>
      </c>
      <c r="G11" s="18" t="n">
        <f aca="false">-SUMIFS(Diario!$K$2:$K$229,Diario!$M$2:$M$229,"P6",Diario!$B$2:$B$229,"&gt;="&amp;G$5,Diario!$B$2:$B$229,"&lt;="&amp;G$6,Diario!$H$2:$H$229,"&lt;&gt;REG")</f>
        <v>-0</v>
      </c>
      <c r="H11" s="18" t="n">
        <f aca="false">-SUMIFS(Diario!$K$2:$K$229,Diario!$M$2:$M$229,"P6",Diario!$B$2:$B$229,"&gt;="&amp;H$5,Diario!$B$2:$B$229,"&lt;="&amp;H$6,Diario!$H$2:$H$229,"&lt;&gt;REG")</f>
        <v>-0</v>
      </c>
    </row>
    <row r="12" customFormat="false" ht="15" hidden="false" customHeight="false" outlineLevel="0" collapsed="false">
      <c r="A12" s="16" t="s">
        <v>145</v>
      </c>
      <c r="B12" s="17" t="s">
        <v>146</v>
      </c>
      <c r="C12" s="18" t="n">
        <f aca="false">C13+C14+C15</f>
        <v>-2509.37</v>
      </c>
      <c r="D12" s="18" t="n">
        <f aca="false">D13+D14+D15</f>
        <v>-1605.21</v>
      </c>
      <c r="E12" s="18" t="n">
        <f aca="false">E13+E14+E15</f>
        <v>-878.97</v>
      </c>
      <c r="F12" s="18" t="n">
        <f aca="false">F13+F14+F15</f>
        <v>-1623.17</v>
      </c>
      <c r="G12" s="18" t="n">
        <f aca="false">G13+G14+G15</f>
        <v>-0</v>
      </c>
      <c r="H12" s="18" t="n">
        <f aca="false">H13+H14+H15</f>
        <v>-4107.35</v>
      </c>
    </row>
    <row r="13" customFormat="false" ht="15" hidden="false" customHeight="false" outlineLevel="0" collapsed="false">
      <c r="A13" s="16" t="s">
        <v>147</v>
      </c>
      <c r="B13" s="19" t="s">
        <v>148</v>
      </c>
      <c r="C13" s="25" t="n">
        <v>-2509.37</v>
      </c>
      <c r="D13" s="18" t="n">
        <f aca="false">-SUMIFS(Diario!$K$2:$K$229,Diario!$M$2:$M$229,"P7a",Diario!$B$2:$B$229,"&gt;="&amp;D$5,Diario!$B$2:$B$229,"&lt;="&amp;D$6,Diario!$H$2:$H$229,"&lt;&gt;REG")</f>
        <v>-1605.21</v>
      </c>
      <c r="E13" s="18" t="n">
        <f aca="false">-SUMIFS(Diario!$K$2:$K$229,Diario!$M$2:$M$229,"P7a",Diario!$B$2:$B$229,"&gt;="&amp;E$5,Diario!$B$2:$B$229,"&lt;="&amp;E$6,Diario!$H$2:$H$229,"&lt;&gt;REG")</f>
        <v>-734.28</v>
      </c>
      <c r="F13" s="18" t="n">
        <f aca="false">-SUMIFS(Diario!$K$2:$K$229,Diario!$M$2:$M$229,"P7a",Diario!$B$2:$B$229,"&gt;="&amp;F$5,Diario!$B$2:$B$229,"&lt;="&amp;F$6,Diario!$H$2:$H$229,"&lt;&gt;REG")</f>
        <v>-1623.17</v>
      </c>
      <c r="G13" s="18" t="n">
        <f aca="false">-SUMIFS(Diario!$K$2:$K$229,Diario!$M$2:$M$229,"P7a",Diario!$B$2:$B$229,"&gt;="&amp;G$5,Diario!$B$2:$B$229,"&lt;="&amp;G$6,Diario!$H$2:$H$229,"&lt;&gt;REG")</f>
        <v>-0</v>
      </c>
      <c r="H13" s="18" t="n">
        <f aca="false">-SUMIFS(Diario!$K$2:$K$229,Diario!$M$2:$M$229,"P7a",Diario!$B$2:$B$229,"&gt;="&amp;H$5,Diario!$B$2:$B$229,"&lt;="&amp;H$6,Diario!$H$2:$H$229,"&lt;&gt;REG")</f>
        <v>-3962.66</v>
      </c>
    </row>
    <row r="14" customFormat="false" ht="15" hidden="false" customHeight="false" outlineLevel="0" collapsed="false">
      <c r="A14" s="16" t="s">
        <v>149</v>
      </c>
      <c r="B14" s="19" t="s">
        <v>150</v>
      </c>
      <c r="C14" s="25" t="n">
        <v>0</v>
      </c>
      <c r="D14" s="18" t="n">
        <f aca="false">-SUMIFS(Diario!$K$2:$K$229,Diario!$M$2:$M$229,"P7b",Diario!$B$2:$B$229,"&gt;="&amp;D$5,Diario!$B$2:$B$229,"&lt;="&amp;D$6,Diario!$H$2:$H$229,"&lt;&gt;REG")</f>
        <v>-0</v>
      </c>
      <c r="E14" s="18" t="n">
        <f aca="false">-SUMIFS(Diario!$K$2:$K$229,Diario!$M$2:$M$229,"P7b",Diario!$B$2:$B$229,"&gt;="&amp;E$5,Diario!$B$2:$B$229,"&lt;="&amp;E$6,Diario!$H$2:$H$229,"&lt;&gt;REG")</f>
        <v>-144.69</v>
      </c>
      <c r="F14" s="18" t="n">
        <f aca="false">-SUMIFS(Diario!$K$2:$K$229,Diario!$M$2:$M$229,"P7b",Diario!$B$2:$B$229,"&gt;="&amp;F$5,Diario!$B$2:$B$229,"&lt;="&amp;F$6,Diario!$H$2:$H$229,"&lt;&gt;REG")</f>
        <v>-0</v>
      </c>
      <c r="G14" s="18" t="n">
        <f aca="false">-SUMIFS(Diario!$K$2:$K$229,Diario!$M$2:$M$229,"P7b",Diario!$B$2:$B$229,"&gt;="&amp;G$5,Diario!$B$2:$B$229,"&lt;="&amp;G$6,Diario!$H$2:$H$229,"&lt;&gt;REG")</f>
        <v>-0</v>
      </c>
      <c r="H14" s="18" t="n">
        <f aca="false">-SUMIFS(Diario!$K$2:$K$229,Diario!$M$2:$M$229,"P7b",Diario!$B$2:$B$229,"&gt;="&amp;H$5,Diario!$B$2:$B$229,"&lt;="&amp;H$6,Diario!$H$2:$H$229,"&lt;&gt;REG")</f>
        <v>-144.69</v>
      </c>
    </row>
    <row r="15" customFormat="false" ht="15" hidden="false" customHeight="false" outlineLevel="0" collapsed="false">
      <c r="A15" s="16" t="s">
        <v>151</v>
      </c>
      <c r="B15" s="19" t="s">
        <v>152</v>
      </c>
      <c r="C15" s="25" t="n">
        <v>0</v>
      </c>
      <c r="D15" s="18" t="n">
        <f aca="false">-SUMIFS(Diario!$K$2:$K$229,Diario!$M$2:$M$229,"P7c",Diario!$B$2:$B$229,"&gt;="&amp;D$5,Diario!$B$2:$B$229,"&lt;="&amp;D$6,Diario!$H$2:$H$229,"&lt;&gt;REG")</f>
        <v>-0</v>
      </c>
      <c r="E15" s="18" t="n">
        <f aca="false">-SUMIFS(Diario!$K$2:$K$229,Diario!$M$2:$M$229,"P7c",Diario!$B$2:$B$229,"&gt;="&amp;E$5,Diario!$B$2:$B$229,"&lt;="&amp;E$6,Diario!$H$2:$H$229,"&lt;&gt;REG")</f>
        <v>-0</v>
      </c>
      <c r="F15" s="18" t="n">
        <f aca="false">-SUMIFS(Diario!$K$2:$K$229,Diario!$M$2:$M$229,"P7c",Diario!$B$2:$B$229,"&gt;="&amp;F$5,Diario!$B$2:$B$229,"&lt;="&amp;F$6,Diario!$H$2:$H$229,"&lt;&gt;REG")</f>
        <v>-0</v>
      </c>
      <c r="G15" s="18" t="n">
        <f aca="false">-SUMIFS(Diario!$K$2:$K$229,Diario!$M$2:$M$229,"P7c",Diario!$B$2:$B$229,"&gt;="&amp;G$5,Diario!$B$2:$B$229,"&lt;="&amp;G$6,Diario!$H$2:$H$229,"&lt;&gt;REG")</f>
        <v>-0</v>
      </c>
      <c r="H15" s="18" t="n">
        <f aca="false">-SUMIFS(Diario!$K$2:$K$229,Diario!$M$2:$M$229,"P7c",Diario!$B$2:$B$229,"&gt;="&amp;H$5,Diario!$B$2:$B$229,"&lt;="&amp;H$6,Diario!$H$2:$H$229,"&lt;&gt;REG")</f>
        <v>-0</v>
      </c>
    </row>
    <row r="16" customFormat="false" ht="15" hidden="false" customHeight="false" outlineLevel="0" collapsed="false">
      <c r="A16" s="16" t="s">
        <v>153</v>
      </c>
      <c r="B16" s="17" t="s">
        <v>154</v>
      </c>
      <c r="C16" s="25" t="n">
        <v>0</v>
      </c>
      <c r="D16" s="18" t="n">
        <f aca="false">-SUMIFS(Diario!$K$2:$K$229,Diario!$M$2:$M$229,"P8",Diario!$B$2:$B$229,"&gt;="&amp;D$5,Diario!$B$2:$B$229,"&lt;="&amp;D$6,Diario!$H$2:$H$229,"&lt;&gt;REG")</f>
        <v>-498.57</v>
      </c>
      <c r="E16" s="18" t="n">
        <f aca="false">-SUMIFS(Diario!$K$2:$K$229,Diario!$M$2:$M$229,"P8",Diario!$B$2:$B$229,"&gt;="&amp;E$5,Diario!$B$2:$B$229,"&lt;="&amp;E$6,Diario!$H$2:$H$229,"&lt;&gt;REG")</f>
        <v>-720.29</v>
      </c>
      <c r="F16" s="18" t="n">
        <f aca="false">-SUMIFS(Diario!$K$2:$K$229,Diario!$M$2:$M$229,"P8",Diario!$B$2:$B$229,"&gt;="&amp;F$5,Diario!$B$2:$B$229,"&lt;="&amp;F$6,Diario!$H$2:$H$229,"&lt;&gt;REG")</f>
        <v>-493.01</v>
      </c>
      <c r="G16" s="18" t="n">
        <f aca="false">-SUMIFS(Diario!$K$2:$K$229,Diario!$M$2:$M$229,"P8",Diario!$B$2:$B$229,"&gt;="&amp;G$5,Diario!$B$2:$B$229,"&lt;="&amp;G$6,Diario!$H$2:$H$229,"&lt;&gt;REG")</f>
        <v>-0</v>
      </c>
      <c r="H16" s="18" t="n">
        <f aca="false">-SUMIFS(Diario!$K$2:$K$229,Diario!$M$2:$M$229,"P8",Diario!$B$2:$B$229,"&gt;="&amp;H$5,Diario!$B$2:$B$229,"&lt;="&amp;H$6,Diario!$H$2:$H$229,"&lt;&gt;REG")</f>
        <v>-1711.87</v>
      </c>
    </row>
    <row r="17" customFormat="false" ht="15" hidden="false" customHeight="false" outlineLevel="0" collapsed="false">
      <c r="A17" s="16" t="s">
        <v>155</v>
      </c>
      <c r="B17" s="17" t="s">
        <v>156</v>
      </c>
      <c r="C17" s="25" t="n">
        <v>0</v>
      </c>
      <c r="D17" s="18" t="n">
        <f aca="false">-SUMIFS(Diario!$K$2:$K$229,Diario!$M$2:$M$229,"P11",Diario!$B$2:$B$229,"&gt;="&amp;D$5,Diario!$B$2:$B$229,"&lt;="&amp;D$6,Diario!$H$2:$H$229,"&lt;&gt;REG")</f>
        <v>-0</v>
      </c>
      <c r="E17" s="18" t="n">
        <f aca="false">-SUMIFS(Diario!$K$2:$K$229,Diario!$M$2:$M$229,"P11",Diario!$B$2:$B$229,"&gt;="&amp;E$5,Diario!$B$2:$B$229,"&lt;="&amp;E$6,Diario!$H$2:$H$229,"&lt;&gt;REG")</f>
        <v>-3414.92</v>
      </c>
      <c r="F17" s="18" t="n">
        <f aca="false">-SUMIFS(Diario!$K$2:$K$229,Diario!$M$2:$M$229,"P11",Diario!$B$2:$B$229,"&gt;="&amp;F$5,Diario!$B$2:$B$229,"&lt;="&amp;F$6,Diario!$H$2:$H$229,"&lt;&gt;REG")</f>
        <v>-0</v>
      </c>
      <c r="G17" s="18" t="n">
        <f aca="false">-SUMIFS(Diario!$K$2:$K$229,Diario!$M$2:$M$229,"P11",Diario!$B$2:$B$229,"&gt;="&amp;G$5,Diario!$B$2:$B$229,"&lt;="&amp;G$6,Diario!$H$2:$H$229,"&lt;&gt;REG")</f>
        <v>-0</v>
      </c>
      <c r="H17" s="18" t="n">
        <f aca="false">-SUMIFS(Diario!$K$2:$K$229,Diario!$M$2:$M$229,"P11",Diario!$B$2:$B$229,"&gt;="&amp;H$5,Diario!$B$2:$B$229,"&lt;="&amp;H$6,Diario!$H$2:$H$229,"&lt;&gt;REG")</f>
        <v>-3414.92</v>
      </c>
    </row>
    <row r="18" customFormat="false" ht="15" hidden="false" customHeight="false" outlineLevel="0" collapsed="false">
      <c r="A18" s="16" t="s">
        <v>157</v>
      </c>
      <c r="B18" s="17" t="s">
        <v>158</v>
      </c>
      <c r="C18" s="25" t="n">
        <v>0</v>
      </c>
      <c r="D18" s="18" t="n">
        <f aca="false">-SUMIFS(Diario!$K$2:$K$229,Diario!$M$2:$M$229,"P12",Diario!$B$2:$B$229,"&gt;="&amp;D$5,Diario!$B$2:$B$229,"&lt;="&amp;D$6,Diario!$H$2:$H$229,"&lt;&gt;REG")</f>
        <v>-0</v>
      </c>
      <c r="E18" s="18" t="n">
        <f aca="false">-SUMIFS(Diario!$K$2:$K$229,Diario!$M$2:$M$229,"P12",Diario!$B$2:$B$229,"&gt;="&amp;E$5,Diario!$B$2:$B$229,"&lt;="&amp;E$6,Diario!$H$2:$H$229,"&lt;&gt;REG")</f>
        <v>-0</v>
      </c>
      <c r="F18" s="18" t="n">
        <f aca="false">-SUMIFS(Diario!$K$2:$K$229,Diario!$M$2:$M$229,"P12",Diario!$B$2:$B$229,"&gt;="&amp;F$5,Diario!$B$2:$B$229,"&lt;="&amp;F$6,Diario!$H$2:$H$229,"&lt;&gt;REG")</f>
        <v>-286.38</v>
      </c>
      <c r="G18" s="18" t="n">
        <f aca="false">-SUMIFS(Diario!$K$2:$K$229,Diario!$M$2:$M$229,"P12",Diario!$B$2:$B$229,"&gt;="&amp;G$5,Diario!$B$2:$B$229,"&lt;="&amp;G$6,Diario!$H$2:$H$229,"&lt;&gt;REG")</f>
        <v>-0</v>
      </c>
      <c r="H18" s="18" t="n">
        <f aca="false">-SUMIFS(Diario!$K$2:$K$229,Diario!$M$2:$M$229,"P12",Diario!$B$2:$B$229,"&gt;="&amp;H$5,Diario!$B$2:$B$229,"&lt;="&amp;H$6,Diario!$H$2:$H$229,"&lt;&gt;REG")</f>
        <v>-286.38</v>
      </c>
    </row>
    <row r="19" customFormat="false" ht="15" hidden="false" customHeight="false" outlineLevel="0" collapsed="false">
      <c r="A19" s="13" t="s">
        <v>159</v>
      </c>
      <c r="B19" s="14" t="s">
        <v>160</v>
      </c>
      <c r="C19" s="15" t="n">
        <f aca="false">C8+C9+C10+C11+C12+C16+C17+C18</f>
        <v>64.8800000000001</v>
      </c>
      <c r="D19" s="15" t="n">
        <f aca="false">D8+D9+D10+D11+D12+D16+D17+D18</f>
        <v>-2103.78</v>
      </c>
      <c r="E19" s="15" t="n">
        <f aca="false">E8+E9+E10+E11+E12+E16+E17+E18</f>
        <v>-3276.45</v>
      </c>
      <c r="F19" s="15" t="n">
        <f aca="false">F8+F9+F10+F11+F12+F16+F17+F18</f>
        <v>-2402.56</v>
      </c>
      <c r="G19" s="15" t="n">
        <f aca="false">G8+G9+G10+G11+G12+G16+G17+G18</f>
        <v>-0</v>
      </c>
      <c r="H19" s="15" t="n">
        <f aca="false">H8+H9+H10+H11+H12+H16+H17+H18</f>
        <v>-7782.79</v>
      </c>
    </row>
    <row r="20" customFormat="false" ht="15" hidden="false" customHeight="false" outlineLevel="0" collapsed="false">
      <c r="A20" s="16" t="s">
        <v>161</v>
      </c>
      <c r="B20" s="17" t="s">
        <v>162</v>
      </c>
      <c r="C20" s="25" t="n">
        <v>0</v>
      </c>
      <c r="D20" s="18" t="n">
        <f aca="false">-SUMIFS(Diario!$K$2:$K$229,Diario!$M$2:$M$229,"P13",Diario!$B$2:$B$229,"&gt;="&amp;D$5,Diario!$B$2:$B$229,"&lt;="&amp;D$6,Diario!$H$2:$H$229,"&lt;&gt;REG")</f>
        <v>-0</v>
      </c>
      <c r="E20" s="18" t="n">
        <f aca="false">-SUMIFS(Diario!$K$2:$K$229,Diario!$M$2:$M$229,"P13",Diario!$B$2:$B$229,"&gt;="&amp;E$5,Diario!$B$2:$B$229,"&lt;="&amp;E$6,Diario!$H$2:$H$229,"&lt;&gt;REG")</f>
        <v>-0</v>
      </c>
      <c r="F20" s="18" t="n">
        <f aca="false">-SUMIFS(Diario!$K$2:$K$229,Diario!$M$2:$M$229,"P13",Diario!$B$2:$B$229,"&gt;="&amp;F$5,Diario!$B$2:$B$229,"&lt;="&amp;F$6,Diario!$H$2:$H$229,"&lt;&gt;REG")</f>
        <v>-0</v>
      </c>
      <c r="G20" s="18" t="n">
        <f aca="false">-SUMIFS(Diario!$K$2:$K$229,Diario!$M$2:$M$229,"P13",Diario!$B$2:$B$229,"&gt;="&amp;G$5,Diario!$B$2:$B$229,"&lt;="&amp;G$6,Diario!$H$2:$H$229,"&lt;&gt;REG")</f>
        <v>-0</v>
      </c>
      <c r="H20" s="18" t="n">
        <f aca="false">-SUMIFS(Diario!$K$2:$K$229,Diario!$M$2:$M$229,"P13",Diario!$B$2:$B$229,"&gt;="&amp;H$5,Diario!$B$2:$B$229,"&lt;="&amp;H$6,Diario!$H$2:$H$229,"&lt;&gt;REG")</f>
        <v>-0</v>
      </c>
    </row>
    <row r="21" customFormat="false" ht="15" hidden="false" customHeight="false" outlineLevel="0" collapsed="false">
      <c r="A21" s="16" t="s">
        <v>163</v>
      </c>
      <c r="B21" s="17" t="s">
        <v>164</v>
      </c>
      <c r="C21" s="25" t="n">
        <v>0</v>
      </c>
      <c r="D21" s="18" t="n">
        <f aca="false">-SUMIFS(Diario!$K$2:$K$229,Diario!$M$2:$M$229,"P14",Diario!$B$2:$B$229,"&gt;="&amp;D$5,Diario!$B$2:$B$229,"&lt;="&amp;D$6,Diario!$H$2:$H$229,"&lt;&gt;REG")</f>
        <v>-0</v>
      </c>
      <c r="E21" s="18" t="n">
        <f aca="false">-SUMIFS(Diario!$K$2:$K$229,Diario!$M$2:$M$229,"P14",Diario!$B$2:$B$229,"&gt;="&amp;E$5,Diario!$B$2:$B$229,"&lt;="&amp;E$6,Diario!$H$2:$H$229,"&lt;&gt;REG")</f>
        <v>-0</v>
      </c>
      <c r="F21" s="18" t="n">
        <f aca="false">-SUMIFS(Diario!$K$2:$K$229,Diario!$M$2:$M$229,"P14",Diario!$B$2:$B$229,"&gt;="&amp;F$5,Diario!$B$2:$B$229,"&lt;="&amp;F$6,Diario!$H$2:$H$229,"&lt;&gt;REG")</f>
        <v>-0</v>
      </c>
      <c r="G21" s="18" t="n">
        <f aca="false">-SUMIFS(Diario!$K$2:$K$229,Diario!$M$2:$M$229,"P14",Diario!$B$2:$B$229,"&gt;="&amp;G$5,Diario!$B$2:$B$229,"&lt;="&amp;G$6,Diario!$H$2:$H$229,"&lt;&gt;REG")</f>
        <v>-0</v>
      </c>
      <c r="H21" s="18" t="n">
        <f aca="false">-SUMIFS(Diario!$K$2:$K$229,Diario!$M$2:$M$229,"P14",Diario!$B$2:$B$229,"&gt;="&amp;H$5,Diario!$B$2:$B$229,"&lt;="&amp;H$6,Diario!$H$2:$H$229,"&lt;&gt;REG")</f>
        <v>-0</v>
      </c>
    </row>
    <row r="22" customFormat="false" ht="15" hidden="false" customHeight="false" outlineLevel="0" collapsed="false">
      <c r="A22" s="16" t="s">
        <v>165</v>
      </c>
      <c r="B22" s="17" t="s">
        <v>166</v>
      </c>
      <c r="C22" s="25" t="n">
        <v>0</v>
      </c>
      <c r="D22" s="18" t="n">
        <f aca="false">-SUMIFS(Diario!$K$2:$K$229,Diario!$M$2:$M$229,"P16",Diario!$B$2:$B$229,"&gt;="&amp;D$5,Diario!$B$2:$B$229,"&lt;="&amp;D$6,Diario!$H$2:$H$229,"&lt;&gt;REG")</f>
        <v>-0</v>
      </c>
      <c r="E22" s="18" t="n">
        <f aca="false">-SUMIFS(Diario!$K$2:$K$229,Diario!$M$2:$M$229,"P16",Diario!$B$2:$B$229,"&gt;="&amp;E$5,Diario!$B$2:$B$229,"&lt;="&amp;E$6,Diario!$H$2:$H$229,"&lt;&gt;REG")</f>
        <v>-0</v>
      </c>
      <c r="F22" s="18" t="n">
        <f aca="false">-SUMIFS(Diario!$K$2:$K$229,Diario!$M$2:$M$229,"P16",Diario!$B$2:$B$229,"&gt;="&amp;F$5,Diario!$B$2:$B$229,"&lt;="&amp;F$6,Diario!$H$2:$H$229,"&lt;&gt;REG")</f>
        <v>-0</v>
      </c>
      <c r="G22" s="18" t="n">
        <f aca="false">-SUMIFS(Diario!$K$2:$K$229,Diario!$M$2:$M$229,"P16",Diario!$B$2:$B$229,"&gt;="&amp;G$5,Diario!$B$2:$B$229,"&lt;="&amp;G$6,Diario!$H$2:$H$229,"&lt;&gt;REG")</f>
        <v>-0</v>
      </c>
      <c r="H22" s="18" t="n">
        <f aca="false">-SUMIFS(Diario!$K$2:$K$229,Diario!$M$2:$M$229,"P16",Diario!$B$2:$B$229,"&gt;="&amp;H$5,Diario!$B$2:$B$229,"&lt;="&amp;H$6,Diario!$H$2:$H$229,"&lt;&gt;REG")</f>
        <v>-0</v>
      </c>
    </row>
    <row r="23" customFormat="false" ht="15" hidden="false" customHeight="false" outlineLevel="0" collapsed="false">
      <c r="A23" s="13" t="s">
        <v>167</v>
      </c>
      <c r="B23" s="14" t="s">
        <v>168</v>
      </c>
      <c r="C23" s="15" t="n">
        <f aca="false">C20+C21+C22</f>
        <v>0</v>
      </c>
      <c r="D23" s="15" t="n">
        <f aca="false">D20+D21+D22</f>
        <v>-0</v>
      </c>
      <c r="E23" s="15" t="n">
        <f aca="false">E20+E21+E22</f>
        <v>-0</v>
      </c>
      <c r="F23" s="15" t="n">
        <f aca="false">F20+F21+F22</f>
        <v>-0</v>
      </c>
      <c r="G23" s="15" t="n">
        <f aca="false">G20+G21+G22</f>
        <v>-0</v>
      </c>
      <c r="H23" s="15" t="n">
        <f aca="false">H20+H21+H22</f>
        <v>-0</v>
      </c>
    </row>
    <row r="24" customFormat="false" ht="15" hidden="false" customHeight="false" outlineLevel="0" collapsed="false">
      <c r="A24" s="13" t="s">
        <v>169</v>
      </c>
      <c r="B24" s="14" t="s">
        <v>170</v>
      </c>
      <c r="C24" s="15" t="n">
        <f aca="false">C19+C23</f>
        <v>64.8800000000001</v>
      </c>
      <c r="D24" s="15" t="n">
        <f aca="false">D19+D23</f>
        <v>-2103.78</v>
      </c>
      <c r="E24" s="15" t="n">
        <f aca="false">E19+E23</f>
        <v>-3276.45</v>
      </c>
      <c r="F24" s="15" t="n">
        <f aca="false">F19+F23</f>
        <v>-2402.56</v>
      </c>
      <c r="G24" s="15" t="n">
        <f aca="false">G19+G23</f>
        <v>-0</v>
      </c>
      <c r="H24" s="15" t="n">
        <f aca="false">H19+H23</f>
        <v>-7782.79</v>
      </c>
    </row>
    <row r="25" customFormat="false" ht="15" hidden="false" customHeight="false" outlineLevel="0" collapsed="false">
      <c r="A25" s="16" t="s">
        <v>171</v>
      </c>
      <c r="B25" s="17" t="s">
        <v>172</v>
      </c>
      <c r="C25" s="25" t="n">
        <v>0</v>
      </c>
      <c r="D25" s="18" t="n">
        <f aca="false">-SUMIFS(Diario!$K$2:$K$229,Diario!$M$2:$M$229,"P17",Diario!$B$2:$B$229,"&gt;="&amp;D$5,Diario!$B$2:$B$229,"&lt;="&amp;D$6,Diario!$H$2:$H$229,"&lt;&gt;REG")</f>
        <v>-0</v>
      </c>
      <c r="E25" s="18" t="n">
        <f aca="false">-SUMIFS(Diario!$K$2:$K$229,Diario!$M$2:$M$229,"P17",Diario!$B$2:$B$229,"&gt;="&amp;E$5,Diario!$B$2:$B$229,"&lt;="&amp;E$6,Diario!$H$2:$H$229,"&lt;&gt;REG")</f>
        <v>-0</v>
      </c>
      <c r="F25" s="18" t="n">
        <f aca="false">-SUMIFS(Diario!$K$2:$K$229,Diario!$M$2:$M$229,"P17",Diario!$B$2:$B$229,"&gt;="&amp;F$5,Diario!$B$2:$B$229,"&lt;="&amp;F$6,Diario!$H$2:$H$229,"&lt;&gt;REG")</f>
        <v>-0</v>
      </c>
      <c r="G25" s="18" t="n">
        <f aca="false">-SUMIFS(Diario!$K$2:$K$229,Diario!$M$2:$M$229,"P17",Diario!$B$2:$B$229,"&gt;="&amp;G$5,Diario!$B$2:$B$229,"&lt;="&amp;G$6,Diario!$H$2:$H$229,"&lt;&gt;REG")</f>
        <v>-0</v>
      </c>
      <c r="H25" s="18" t="n">
        <f aca="false">-SUMIFS(Diario!$K$2:$K$229,Diario!$M$2:$M$229,"P17",Diario!$B$2:$B$229,"&gt;="&amp;H$5,Diario!$B$2:$B$229,"&lt;="&amp;H$6,Diario!$H$2:$H$229,"&lt;&gt;REG")</f>
        <v>-0</v>
      </c>
    </row>
    <row r="26" customFormat="false" ht="15" hidden="false" customHeight="false" outlineLevel="0" collapsed="false">
      <c r="A26" s="20" t="s">
        <v>173</v>
      </c>
      <c r="B26" s="21" t="s">
        <v>174</v>
      </c>
      <c r="C26" s="22" t="n">
        <f aca="false">C24+C25</f>
        <v>64.8800000000001</v>
      </c>
      <c r="D26" s="22" t="n">
        <f aca="false">D24+D25</f>
        <v>-2103.78</v>
      </c>
      <c r="E26" s="22" t="n">
        <f aca="false">E24+E25</f>
        <v>-3276.45</v>
      </c>
      <c r="F26" s="22" t="n">
        <f aca="false">F24+F25</f>
        <v>-2402.56</v>
      </c>
      <c r="G26" s="22" t="n">
        <f aca="false">G24+G25</f>
        <v>-0</v>
      </c>
      <c r="H26" s="22" t="n">
        <f aca="false">H24+H25</f>
        <v>-7782.79</v>
      </c>
    </row>
    <row r="29" customFormat="false" ht="15" hidden="false" customHeight="false" outlineLevel="0" collapsed="false">
      <c r="A29" s="5" t="s">
        <v>175</v>
      </c>
      <c r="B29" s="5" t="s">
        <v>176</v>
      </c>
      <c r="C29" s="5"/>
      <c r="D29" s="5" t="s">
        <v>177</v>
      </c>
      <c r="E29" s="5" t="s">
        <v>178</v>
      </c>
      <c r="F29" s="5" t="s">
        <v>179</v>
      </c>
      <c r="G29" s="5" t="s">
        <v>180</v>
      </c>
      <c r="H29" s="5" t="s">
        <v>181</v>
      </c>
    </row>
    <row r="30" customFormat="false" ht="15" hidden="false" customHeight="false" outlineLevel="0" collapsed="false">
      <c r="A30" s="26" t="s">
        <v>182</v>
      </c>
      <c r="B30" s="17" t="s">
        <v>183</v>
      </c>
      <c r="C30" s="18"/>
      <c r="D30" s="18" t="n">
        <f aca="false">-SUMIFS(Diario!$K$2:$K$229,Diario!$C$2:$C$229,$A30,Diario!$B$2:$B$229,"&gt;="&amp;D$5,Diario!$B$2:$B$229,"&lt;="&amp;D$6,Diario!$H$2:$H$229,"&lt;&gt;REG")</f>
        <v>-964.26</v>
      </c>
      <c r="E30" s="18" t="n">
        <f aca="false">-SUMIFS(Diario!$K$2:$K$229,Diario!$C$2:$C$229,$A30,Diario!$B$2:$B$229,"&gt;="&amp;E$5,Diario!$B$2:$B$229,"&lt;="&amp;E$6,Diario!$H$2:$H$229,"&lt;&gt;REG")</f>
        <v>-351.9</v>
      </c>
      <c r="F30" s="18" t="n">
        <f aca="false">-SUMIFS(Diario!$K$2:$K$229,Diario!$C$2:$C$229,$A30,Diario!$B$2:$B$229,"&gt;="&amp;F$5,Diario!$B$2:$B$229,"&lt;="&amp;F$6,Diario!$H$2:$H$229,"&lt;&gt;REG")</f>
        <v>-676.17</v>
      </c>
      <c r="G30" s="18" t="n">
        <f aca="false">-SUMIFS(Diario!$K$2:$K$229,Diario!$C$2:$C$229,$A30,Diario!$B$2:$B$229,"&gt;="&amp;G$5,Diario!$B$2:$B$229,"&lt;="&amp;G$6,Diario!$H$2:$H$229,"&lt;&gt;REG")</f>
        <v>-0</v>
      </c>
      <c r="H30" s="18" t="n">
        <f aca="false">-SUMIFS(Diario!$K$2:$K$229,Diario!$C$2:$C$229,$A30,Diario!$B$2:$B$229,"&gt;="&amp;H$5,Diario!$B$2:$B$229,"&lt;="&amp;H$6,Diario!$H$2:$H$229,"&lt;&gt;REG")</f>
        <v>-1992.33</v>
      </c>
    </row>
    <row r="31" customFormat="false" ht="15" hidden="false" customHeight="false" outlineLevel="0" collapsed="false">
      <c r="A31" s="26" t="s">
        <v>184</v>
      </c>
      <c r="B31" s="17" t="s">
        <v>185</v>
      </c>
      <c r="C31" s="18"/>
      <c r="D31" s="18" t="n">
        <f aca="false">-SUMIFS(Diario!$K$2:$K$229,Diario!$C$2:$C$229,$A31,Diario!$B$2:$B$229,"&gt;="&amp;D$5,Diario!$B$2:$B$229,"&lt;="&amp;D$6,Diario!$H$2:$H$229,"&lt;&gt;REG")</f>
        <v>-0</v>
      </c>
      <c r="E31" s="18" t="n">
        <f aca="false">-SUMIFS(Diario!$K$2:$K$229,Diario!$C$2:$C$229,$A31,Diario!$B$2:$B$229,"&gt;="&amp;E$5,Diario!$B$2:$B$229,"&lt;="&amp;E$6,Diario!$H$2:$H$229,"&lt;&gt;REG")</f>
        <v>-41.49</v>
      </c>
      <c r="F31" s="18" t="n">
        <f aca="false">-SUMIFS(Diario!$K$2:$K$229,Diario!$C$2:$C$229,$A31,Diario!$B$2:$B$229,"&gt;="&amp;F$5,Diario!$B$2:$B$229,"&lt;="&amp;F$6,Diario!$H$2:$H$229,"&lt;&gt;REG")</f>
        <v>-0</v>
      </c>
      <c r="G31" s="18" t="n">
        <f aca="false">-SUMIFS(Diario!$K$2:$K$229,Diario!$C$2:$C$229,$A31,Diario!$B$2:$B$229,"&gt;="&amp;G$5,Diario!$B$2:$B$229,"&lt;="&amp;G$6,Diario!$H$2:$H$229,"&lt;&gt;REG")</f>
        <v>-0</v>
      </c>
      <c r="H31" s="18" t="n">
        <f aca="false">-SUMIFS(Diario!$K$2:$K$229,Diario!$C$2:$C$229,$A31,Diario!$B$2:$B$229,"&gt;="&amp;H$5,Diario!$B$2:$B$229,"&lt;="&amp;H$6,Diario!$H$2:$H$229,"&lt;&gt;REG")</f>
        <v>-41.49</v>
      </c>
    </row>
    <row r="32" customFormat="false" ht="15" hidden="false" customHeight="false" outlineLevel="0" collapsed="false">
      <c r="A32" s="26" t="s">
        <v>186</v>
      </c>
      <c r="B32" s="17" t="s">
        <v>187</v>
      </c>
      <c r="C32" s="18"/>
      <c r="D32" s="18" t="n">
        <f aca="false">-SUMIFS(Diario!$K$2:$K$229,Diario!$C$2:$C$229,$A32,Diario!$B$2:$B$229,"&gt;="&amp;D$5,Diario!$B$2:$B$229,"&lt;="&amp;D$6,Diario!$H$2:$H$229,"&lt;&gt;REG")</f>
        <v>-640.95</v>
      </c>
      <c r="E32" s="18" t="n">
        <f aca="false">-SUMIFS(Diario!$K$2:$K$229,Diario!$C$2:$C$229,$A32,Diario!$B$2:$B$229,"&gt;="&amp;E$5,Diario!$B$2:$B$229,"&lt;="&amp;E$6,Diario!$H$2:$H$229,"&lt;&gt;REG")</f>
        <v>-0</v>
      </c>
      <c r="F32" s="18" t="n">
        <f aca="false">-SUMIFS(Diario!$K$2:$K$229,Diario!$C$2:$C$229,$A32,Diario!$B$2:$B$229,"&gt;="&amp;F$5,Diario!$B$2:$B$229,"&lt;="&amp;F$6,Diario!$H$2:$H$229,"&lt;&gt;REG")</f>
        <v>-0</v>
      </c>
      <c r="G32" s="18" t="n">
        <f aca="false">-SUMIFS(Diario!$K$2:$K$229,Diario!$C$2:$C$229,$A32,Diario!$B$2:$B$229,"&gt;="&amp;G$5,Diario!$B$2:$B$229,"&lt;="&amp;G$6,Diario!$H$2:$H$229,"&lt;&gt;REG")</f>
        <v>-0</v>
      </c>
      <c r="H32" s="18" t="n">
        <f aca="false">-SUMIFS(Diario!$K$2:$K$229,Diario!$C$2:$C$229,$A32,Diario!$B$2:$B$229,"&gt;="&amp;H$5,Diario!$B$2:$B$229,"&lt;="&amp;H$6,Diario!$H$2:$H$229,"&lt;&gt;REG")</f>
        <v>-640.95</v>
      </c>
    </row>
    <row r="33" customFormat="false" ht="15" hidden="false" customHeight="false" outlineLevel="0" collapsed="false">
      <c r="A33" s="26" t="s">
        <v>188</v>
      </c>
      <c r="B33" s="17" t="s">
        <v>189</v>
      </c>
      <c r="C33" s="18"/>
      <c r="D33" s="18" t="n">
        <f aca="false">-SUMIFS(Diario!$K$2:$K$229,Diario!$C$2:$C$229,$A33,Diario!$B$2:$B$229,"&gt;="&amp;D$5,Diario!$B$2:$B$229,"&lt;="&amp;D$6,Diario!$H$2:$H$229,"&lt;&gt;REG")</f>
        <v>-0</v>
      </c>
      <c r="E33" s="18" t="n">
        <f aca="false">-SUMIFS(Diario!$K$2:$K$229,Diario!$C$2:$C$229,$A33,Diario!$B$2:$B$229,"&gt;="&amp;E$5,Diario!$B$2:$B$229,"&lt;="&amp;E$6,Diario!$H$2:$H$229,"&lt;&gt;REG")</f>
        <v>-106.53</v>
      </c>
      <c r="F33" s="18" t="n">
        <f aca="false">-SUMIFS(Diario!$K$2:$K$229,Diario!$C$2:$C$229,$A33,Diario!$B$2:$B$229,"&gt;="&amp;F$5,Diario!$B$2:$B$229,"&lt;="&amp;F$6,Diario!$H$2:$H$229,"&lt;&gt;REG")</f>
        <v>-0</v>
      </c>
      <c r="G33" s="18" t="n">
        <f aca="false">-SUMIFS(Diario!$K$2:$K$229,Diario!$C$2:$C$229,$A33,Diario!$B$2:$B$229,"&gt;="&amp;G$5,Diario!$B$2:$B$229,"&lt;="&amp;G$6,Diario!$H$2:$H$229,"&lt;&gt;REG")</f>
        <v>-0</v>
      </c>
      <c r="H33" s="18" t="n">
        <f aca="false">-SUMIFS(Diario!$K$2:$K$229,Diario!$C$2:$C$229,$A33,Diario!$B$2:$B$229,"&gt;="&amp;H$5,Diario!$B$2:$B$229,"&lt;="&amp;H$6,Diario!$H$2:$H$229,"&lt;&gt;REG")</f>
        <v>-106.53</v>
      </c>
    </row>
    <row r="34" customFormat="false" ht="15" hidden="false" customHeight="false" outlineLevel="0" collapsed="false">
      <c r="A34" s="26" t="s">
        <v>190</v>
      </c>
      <c r="B34" s="17" t="s">
        <v>191</v>
      </c>
      <c r="C34" s="18"/>
      <c r="D34" s="18" t="n">
        <f aca="false">-SUMIFS(Diario!$K$2:$K$229,Diario!$C$2:$C$229,$A34,Diario!$B$2:$B$229,"&gt;="&amp;D$5,Diario!$B$2:$B$229,"&lt;="&amp;D$6,Diario!$H$2:$H$229,"&lt;&gt;REG")</f>
        <v>-0</v>
      </c>
      <c r="E34" s="18" t="n">
        <f aca="false">-SUMIFS(Diario!$K$2:$K$229,Diario!$C$2:$C$229,$A34,Diario!$B$2:$B$229,"&gt;="&amp;E$5,Diario!$B$2:$B$229,"&lt;="&amp;E$6,Diario!$H$2:$H$229,"&lt;&gt;REG")</f>
        <v>-234.36</v>
      </c>
      <c r="F34" s="18" t="n">
        <f aca="false">-SUMIFS(Diario!$K$2:$K$229,Diario!$C$2:$C$229,$A34,Diario!$B$2:$B$229,"&gt;="&amp;F$5,Diario!$B$2:$B$229,"&lt;="&amp;F$6,Diario!$H$2:$H$229,"&lt;&gt;REG")</f>
        <v>-947</v>
      </c>
      <c r="G34" s="18" t="n">
        <f aca="false">-SUMIFS(Diario!$K$2:$K$229,Diario!$C$2:$C$229,$A34,Diario!$B$2:$B$229,"&gt;="&amp;G$5,Diario!$B$2:$B$229,"&lt;="&amp;G$6,Diario!$H$2:$H$229,"&lt;&gt;REG")</f>
        <v>-0</v>
      </c>
      <c r="H34" s="18" t="n">
        <f aca="false">-SUMIFS(Diario!$K$2:$K$229,Diario!$C$2:$C$229,$A34,Diario!$B$2:$B$229,"&gt;="&amp;H$5,Diario!$B$2:$B$229,"&lt;="&amp;H$6,Diario!$H$2:$H$229,"&lt;&gt;REG")</f>
        <v>-1181.36</v>
      </c>
    </row>
    <row r="35" customFormat="false" ht="15" hidden="false" customHeight="false" outlineLevel="0" collapsed="false">
      <c r="A35" s="26" t="s">
        <v>192</v>
      </c>
      <c r="B35" s="17" t="s">
        <v>193</v>
      </c>
      <c r="C35" s="18"/>
      <c r="D35" s="18" t="n">
        <f aca="false">-SUMIFS(Diario!$K$2:$K$229,Diario!$C$2:$C$229,$A35,Diario!$B$2:$B$229,"&gt;="&amp;D$5,Diario!$B$2:$B$229,"&lt;="&amp;D$6,Diario!$H$2:$H$229,"&lt;&gt;REG")</f>
        <v>-0</v>
      </c>
      <c r="E35" s="18" t="n">
        <f aca="false">-SUMIFS(Diario!$K$2:$K$229,Diario!$C$2:$C$229,$A35,Diario!$B$2:$B$229,"&gt;="&amp;E$5,Diario!$B$2:$B$229,"&lt;="&amp;E$6,Diario!$H$2:$H$229,"&lt;&gt;REG")</f>
        <v>-144.69</v>
      </c>
      <c r="F35" s="18" t="n">
        <f aca="false">-SUMIFS(Diario!$K$2:$K$229,Diario!$C$2:$C$229,$A35,Diario!$B$2:$B$229,"&gt;="&amp;F$5,Diario!$B$2:$B$229,"&lt;="&amp;F$6,Diario!$H$2:$H$229,"&lt;&gt;REG")</f>
        <v>-0</v>
      </c>
      <c r="G35" s="18" t="n">
        <f aca="false">-SUMIFS(Diario!$K$2:$K$229,Diario!$C$2:$C$229,$A35,Diario!$B$2:$B$229,"&gt;="&amp;G$5,Diario!$B$2:$B$229,"&lt;="&amp;G$6,Diario!$H$2:$H$229,"&lt;&gt;REG")</f>
        <v>-0</v>
      </c>
      <c r="H35" s="18" t="n">
        <f aca="false">-SUMIFS(Diario!$K$2:$K$229,Diario!$C$2:$C$229,$A35,Diario!$B$2:$B$229,"&gt;="&amp;H$5,Diario!$B$2:$B$229,"&lt;="&amp;H$6,Diario!$H$2:$H$229,"&lt;&gt;REG")</f>
        <v>-144.69</v>
      </c>
    </row>
    <row r="36" customFormat="false" ht="15" hidden="false" customHeight="false" outlineLevel="0" collapsed="false">
      <c r="A36" s="26" t="s">
        <v>194</v>
      </c>
      <c r="B36" s="17" t="s">
        <v>195</v>
      </c>
      <c r="C36" s="18"/>
      <c r="D36" s="18" t="n">
        <f aca="false">-SUMIFS(Diario!$K$2:$K$229,Diario!$C$2:$C$229,$A36,Diario!$B$2:$B$229,"&gt;="&amp;D$5,Diario!$B$2:$B$229,"&lt;="&amp;D$6,Diario!$H$2:$H$229,"&lt;&gt;REG")</f>
        <v>-0</v>
      </c>
      <c r="E36" s="18" t="n">
        <f aca="false">-SUMIFS(Diario!$K$2:$K$229,Diario!$C$2:$C$229,$A36,Diario!$B$2:$B$229,"&gt;="&amp;E$5,Diario!$B$2:$B$229,"&lt;="&amp;E$6,Diario!$H$2:$H$229,"&lt;&gt;REG")</f>
        <v>-3414.92</v>
      </c>
      <c r="F36" s="18" t="n">
        <f aca="false">-SUMIFS(Diario!$K$2:$K$229,Diario!$C$2:$C$229,$A36,Diario!$B$2:$B$229,"&gt;="&amp;F$5,Diario!$B$2:$B$229,"&lt;="&amp;F$6,Diario!$H$2:$H$229,"&lt;&gt;REG")</f>
        <v>-0</v>
      </c>
      <c r="G36" s="18" t="n">
        <f aca="false">-SUMIFS(Diario!$K$2:$K$229,Diario!$C$2:$C$229,$A36,Diario!$B$2:$B$229,"&gt;="&amp;G$5,Diario!$B$2:$B$229,"&lt;="&amp;G$6,Diario!$H$2:$H$229,"&lt;&gt;REG")</f>
        <v>-0</v>
      </c>
      <c r="H36" s="18" t="n">
        <f aca="false">-SUMIFS(Diario!$K$2:$K$229,Diario!$C$2:$C$229,$A36,Diario!$B$2:$B$229,"&gt;="&amp;H$5,Diario!$B$2:$B$229,"&lt;="&amp;H$6,Diario!$H$2:$H$229,"&lt;&gt;REG")</f>
        <v>-3414.92</v>
      </c>
    </row>
    <row r="37" customFormat="false" ht="15" hidden="false" customHeight="false" outlineLevel="0" collapsed="false">
      <c r="A37" s="26" t="s">
        <v>196</v>
      </c>
      <c r="B37" s="17" t="s">
        <v>197</v>
      </c>
      <c r="C37" s="18"/>
      <c r="D37" s="18" t="n">
        <f aca="false">-SUMIFS(Diario!$K$2:$K$229,Diario!$C$2:$C$229,$A37,Diario!$B$2:$B$229,"&gt;="&amp;D$5,Diario!$B$2:$B$229,"&lt;="&amp;D$6,Diario!$H$2:$H$229,"&lt;&gt;REG")</f>
        <v>-0</v>
      </c>
      <c r="E37" s="18" t="n">
        <f aca="false">-SUMIFS(Diario!$K$2:$K$229,Diario!$C$2:$C$229,$A37,Diario!$B$2:$B$229,"&gt;="&amp;E$5,Diario!$B$2:$B$229,"&lt;="&amp;E$6,Diario!$H$2:$H$229,"&lt;&gt;REG")</f>
        <v>-0</v>
      </c>
      <c r="F37" s="18" t="n">
        <f aca="false">-SUMIFS(Diario!$K$2:$K$229,Diario!$C$2:$C$229,$A37,Diario!$B$2:$B$229,"&gt;="&amp;F$5,Diario!$B$2:$B$229,"&lt;="&amp;F$6,Diario!$H$2:$H$229,"&lt;&gt;REG")</f>
        <v>-286.38</v>
      </c>
      <c r="G37" s="18" t="n">
        <f aca="false">-SUMIFS(Diario!$K$2:$K$229,Diario!$C$2:$C$229,$A37,Diario!$B$2:$B$229,"&gt;="&amp;G$5,Diario!$B$2:$B$229,"&lt;="&amp;G$6,Diario!$H$2:$H$229,"&lt;&gt;REG")</f>
        <v>-0</v>
      </c>
      <c r="H37" s="18" t="n">
        <f aca="false">-SUMIFS(Diario!$K$2:$K$229,Diario!$C$2:$C$229,$A37,Diario!$B$2:$B$229,"&gt;="&amp;H$5,Diario!$B$2:$B$229,"&lt;="&amp;H$6,Diario!$H$2:$H$229,"&lt;&gt;REG")</f>
        <v>-286.38</v>
      </c>
    </row>
    <row r="38" customFormat="false" ht="15" hidden="false" customHeight="false" outlineLevel="0" collapsed="false">
      <c r="A38" s="26" t="s">
        <v>198</v>
      </c>
      <c r="B38" s="17" t="s">
        <v>199</v>
      </c>
      <c r="C38" s="18"/>
      <c r="D38" s="18" t="n">
        <f aca="false">-SUMIFS(Diario!$K$2:$K$229,Diario!$C$2:$C$229,$A38,Diario!$B$2:$B$229,"&gt;="&amp;D$5,Diario!$B$2:$B$229,"&lt;="&amp;D$6,Diario!$H$2:$H$229,"&lt;&gt;REG")</f>
        <v>-498.57</v>
      </c>
      <c r="E38" s="18" t="n">
        <f aca="false">-SUMIFS(Diario!$K$2:$K$229,Diario!$C$2:$C$229,$A38,Diario!$B$2:$B$229,"&gt;="&amp;E$5,Diario!$B$2:$B$229,"&lt;="&amp;E$6,Diario!$H$2:$H$229,"&lt;&gt;REG")</f>
        <v>-720.29</v>
      </c>
      <c r="F38" s="18" t="n">
        <f aca="false">-SUMIFS(Diario!$K$2:$K$229,Diario!$C$2:$C$229,$A38,Diario!$B$2:$B$229,"&gt;="&amp;F$5,Diario!$B$2:$B$229,"&lt;="&amp;F$6,Diario!$H$2:$H$229,"&lt;&gt;REG")</f>
        <v>-493.01</v>
      </c>
      <c r="G38" s="18" t="n">
        <f aca="false">-SUMIFS(Diario!$K$2:$K$229,Diario!$C$2:$C$229,$A38,Diario!$B$2:$B$229,"&gt;="&amp;G$5,Diario!$B$2:$B$229,"&lt;="&amp;G$6,Diario!$H$2:$H$229,"&lt;&gt;REG")</f>
        <v>-0</v>
      </c>
      <c r="H38" s="18" t="n">
        <f aca="false">-SUMIFS(Diario!$K$2:$K$229,Diario!$C$2:$C$229,$A38,Diario!$B$2:$B$229,"&gt;="&amp;H$5,Diario!$B$2:$B$229,"&lt;="&amp;H$6,Diario!$H$2:$H$229,"&lt;&gt;REG")</f>
        <v>-1711.87</v>
      </c>
    </row>
    <row r="39" customFormat="false" ht="15" hidden="false" customHeight="false" outlineLevel="0" collapsed="false">
      <c r="A39" s="26" t="s">
        <v>200</v>
      </c>
      <c r="B39" s="17" t="s">
        <v>201</v>
      </c>
      <c r="C39" s="18"/>
      <c r="D39" s="18" t="n">
        <f aca="false">-SUMIFS(Diario!$K$2:$K$229,Diario!$C$2:$C$229,$A39,Diario!$B$2:$B$229,"&gt;="&amp;D$5,Diario!$B$2:$B$229,"&lt;="&amp;D$6,Diario!$H$2:$H$229,"&lt;&gt;REG")</f>
        <v>-0</v>
      </c>
      <c r="E39" s="18" t="n">
        <f aca="false">-SUMIFS(Diario!$K$2:$K$229,Diario!$C$2:$C$229,$A39,Diario!$B$2:$B$229,"&gt;="&amp;E$5,Diario!$B$2:$B$229,"&lt;="&amp;E$6,Diario!$H$2:$H$229,"&lt;&gt;REG")</f>
        <v>1737.73</v>
      </c>
      <c r="F39" s="18" t="n">
        <f aca="false">-SUMIFS(Diario!$K$2:$K$229,Diario!$C$2:$C$229,$A39,Diario!$B$2:$B$229,"&gt;="&amp;F$5,Diario!$B$2:$B$229,"&lt;="&amp;F$6,Diario!$H$2:$H$229,"&lt;&gt;REG")</f>
        <v>-0</v>
      </c>
      <c r="G39" s="18" t="n">
        <f aca="false">-SUMIFS(Diario!$K$2:$K$229,Diario!$C$2:$C$229,$A39,Diario!$B$2:$B$229,"&gt;="&amp;G$5,Diario!$B$2:$B$229,"&lt;="&amp;G$6,Diario!$H$2:$H$229,"&lt;&gt;REG")</f>
        <v>-0</v>
      </c>
      <c r="H39" s="18" t="n">
        <f aca="false">-SUMIFS(Diario!$K$2:$K$229,Diario!$C$2:$C$229,$A39,Diario!$B$2:$B$229,"&gt;="&amp;H$5,Diario!$B$2:$B$229,"&lt;="&amp;H$6,Diario!$H$2:$H$229,"&lt;&gt;REG")</f>
        <v>1737.73</v>
      </c>
    </row>
    <row r="40" customFormat="false" ht="15" hidden="false" customHeight="false" outlineLevel="0" collapsed="false">
      <c r="A40" s="20"/>
      <c r="B40" s="21" t="s">
        <v>202</v>
      </c>
      <c r="C40" s="22"/>
      <c r="D40" s="22" t="n">
        <f aca="false">SUM(D30:D39)</f>
        <v>-2103.78</v>
      </c>
      <c r="E40" s="22" t="n">
        <f aca="false">SUM(E30:E39)</f>
        <v>-3276.45</v>
      </c>
      <c r="F40" s="22" t="n">
        <f aca="false">SUM(F30:F39)</f>
        <v>-2402.56</v>
      </c>
      <c r="G40" s="22" t="n">
        <f aca="false">SUM(G30:G39)</f>
        <v>0</v>
      </c>
      <c r="H40" s="22" t="n">
        <f aca="false">SUM(H30:H39)</f>
        <v>-7782.79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10" min="8" style="0" width="14"/>
    <col collapsed="false" customWidth="true" hidden="false" outlineLevel="0" max="11" min="11" style="0" width="13"/>
    <col collapsed="false" customWidth="true" hidden="false" outlineLevel="0" max="13" min="12" style="0" width="14"/>
  </cols>
  <sheetData>
    <row r="1" customFormat="false" ht="17.35" hidden="false" customHeight="false" outlineLevel="0" collapsed="false">
      <c r="A1" s="1" t="s">
        <v>203</v>
      </c>
    </row>
    <row r="2" customFormat="false" ht="15" hidden="false" customHeight="false" outlineLevel="0" collapsed="false">
      <c r="A2" s="2" t="s">
        <v>204</v>
      </c>
    </row>
    <row r="4" customFormat="false" ht="42" hidden="false" customHeight="true" outlineLevel="0" collapsed="false">
      <c r="A4" s="5" t="s">
        <v>205</v>
      </c>
      <c r="B4" s="5" t="s">
        <v>206</v>
      </c>
      <c r="C4" s="5" t="s">
        <v>207</v>
      </c>
      <c r="D4" s="5" t="s">
        <v>26</v>
      </c>
      <c r="E4" s="5" t="s">
        <v>208</v>
      </c>
      <c r="F4" s="5" t="s">
        <v>209</v>
      </c>
      <c r="G4" s="5" t="s">
        <v>210</v>
      </c>
      <c r="H4" s="5" t="s">
        <v>211</v>
      </c>
      <c r="I4" s="5" t="s">
        <v>212</v>
      </c>
      <c r="J4" s="5" t="s">
        <v>213</v>
      </c>
      <c r="K4" s="5" t="s">
        <v>214</v>
      </c>
      <c r="L4" s="5" t="s">
        <v>215</v>
      </c>
      <c r="M4" s="5" t="s">
        <v>216</v>
      </c>
    </row>
    <row r="5" customFormat="false" ht="15" hidden="false" customHeight="false" outlineLevel="0" collapsed="false">
      <c r="A5" s="6" t="s">
        <v>217</v>
      </c>
      <c r="B5" s="6" t="s">
        <v>218</v>
      </c>
      <c r="C5" s="6" t="s">
        <v>219</v>
      </c>
      <c r="D5" s="6" t="s">
        <v>220</v>
      </c>
      <c r="E5" s="25" t="n">
        <v>3800</v>
      </c>
      <c r="F5" s="9" t="s">
        <v>221</v>
      </c>
      <c r="G5" s="27" t="n">
        <v>0.16</v>
      </c>
      <c r="H5" s="18" t="n">
        <f aca="false">SUMIFS(Diario!$F$2:$F$229,Diario!$I$2:$I$229,$A5,Diario!$C$2:$C$229,"218*",Diario!$B$2:$B$229,"&lt;="&amp;FechaCorte)</f>
        <v>4197.04</v>
      </c>
      <c r="I5" s="18" t="n">
        <f aca="false">SUMIFS(Diario!$K$2:$K$229,Diario!$I$2:$I$229,$A5,Diario!$C$2:$C$229,"681*",Diario!$B$2:$B$229,"&lt;="&amp;FechaCorte)</f>
        <v>382.31</v>
      </c>
      <c r="J5" s="18" t="n">
        <f aca="false">SUMIFS(Diario!$K$2:$K$229,Diario!$I$2:$I$229,$A5,Diario!$C$2:$C$229,"218*",Diario!$B$2:$B$229,"&lt;="&amp;FechaCorte)+SUMIFS(Diario!$K$2:$K$229,Diario!$I$2:$I$229,$A5,Diario!$C$2:$C$229,"281*",Diario!$B$2:$B$229,"&lt;="&amp;FechaCorte)</f>
        <v>3814.73</v>
      </c>
      <c r="K5" s="18" t="n">
        <f aca="false">-SUMIFS(Diario!$K$2:$K$229,Diario!$I$2:$I$229,$A5,Diario!$C$2:$C$229,"7*",Diario!$H$2:$H$229,"&lt;&gt;REG",Diario!$B$2:$B$229,"&lt;="&amp;FechaCorte)</f>
        <v>175.71</v>
      </c>
      <c r="L5" s="18" t="n">
        <f aca="false">SUMIFS(Diario!$K$2:$K$229,Diario!$I$2:$I$229,$A5,Diario!$C$2:$C$229,"6*",Diario!$H$2:$H$229,"&lt;&gt;REG",Diario!$B$2:$B$229,"&lt;="&amp;FechaCorte)</f>
        <v>1449.43</v>
      </c>
      <c r="M5" s="18" t="n">
        <f aca="false">K5-L5</f>
        <v>-1273.72</v>
      </c>
    </row>
    <row r="6" customFormat="false" ht="15" hidden="false" customHeight="false" outlineLevel="0" collapsed="false">
      <c r="A6" s="6" t="s">
        <v>222</v>
      </c>
      <c r="B6" s="6" t="s">
        <v>218</v>
      </c>
      <c r="C6" s="6" t="s">
        <v>223</v>
      </c>
      <c r="D6" s="6" t="s">
        <v>220</v>
      </c>
      <c r="E6" s="25" t="n">
        <v>9192</v>
      </c>
      <c r="F6" s="9" t="s">
        <v>224</v>
      </c>
      <c r="G6" s="27" t="n">
        <v>0.16</v>
      </c>
      <c r="H6" s="18" t="n">
        <f aca="false">SUMIFS(Diario!$F$2:$F$229,Diario!$I$2:$I$229,$A6,Diario!$C$2:$C$229,"218*",Diario!$B$2:$B$229,"&lt;="&amp;FechaCorte)</f>
        <v>9192</v>
      </c>
      <c r="I6" s="18" t="n">
        <f aca="false">SUMIFS(Diario!$K$2:$K$229,Diario!$I$2:$I$229,$A6,Diario!$C$2:$C$229,"681*",Diario!$B$2:$B$229,"&lt;="&amp;FechaCorte)</f>
        <v>1067.78</v>
      </c>
      <c r="J6" s="18" t="n">
        <f aca="false">SUMIFS(Diario!$K$2:$K$229,Diario!$I$2:$I$229,$A6,Diario!$C$2:$C$229,"218*",Diario!$B$2:$B$229,"&lt;="&amp;FechaCorte)+SUMIFS(Diario!$K$2:$K$229,Diario!$I$2:$I$229,$A6,Diario!$C$2:$C$229,"281*",Diario!$B$2:$B$229,"&lt;="&amp;FechaCorte)</f>
        <v>8124.22</v>
      </c>
      <c r="K6" s="18" t="n">
        <f aca="false">-SUMIFS(Diario!$K$2:$K$229,Diario!$I$2:$I$229,$A6,Diario!$C$2:$C$229,"7*",Diario!$H$2:$H$229,"&lt;&gt;REG",Diario!$B$2:$B$229,"&lt;="&amp;FechaCorte)</f>
        <v>983.51</v>
      </c>
      <c r="L6" s="18" t="n">
        <f aca="false">SUMIFS(Diario!$K$2:$K$229,Diario!$I$2:$I$229,$A6,Diario!$C$2:$C$229,"6*",Diario!$H$2:$H$229,"&lt;&gt;REG",Diario!$B$2:$B$229,"&lt;="&amp;FechaCorte)</f>
        <v>2449.63</v>
      </c>
      <c r="M6" s="18" t="n">
        <f aca="false">K6-L6</f>
        <v>-1466.12</v>
      </c>
    </row>
    <row r="7" customFormat="false" ht="15" hidden="false" customHeight="false" outlineLevel="0" collapsed="false">
      <c r="A7" s="6" t="s">
        <v>225</v>
      </c>
      <c r="B7" s="6" t="s">
        <v>226</v>
      </c>
      <c r="C7" s="6" t="s">
        <v>227</v>
      </c>
      <c r="D7" s="6" t="s">
        <v>228</v>
      </c>
      <c r="E7" s="25" t="n">
        <v>5800</v>
      </c>
      <c r="F7" s="9" t="s">
        <v>221</v>
      </c>
      <c r="G7" s="27" t="n">
        <v>0.16</v>
      </c>
      <c r="H7" s="18" t="n">
        <f aca="false">SUMIFS(Diario!$F$2:$F$229,Diario!$I$2:$I$229,$A7,Diario!$C$2:$C$229,"218*",Diario!$B$2:$B$229,"&lt;="&amp;FechaCorte)</f>
        <v>6156.7</v>
      </c>
      <c r="I7" s="18" t="n">
        <f aca="false">SUMIFS(Diario!$K$2:$K$229,Diario!$I$2:$I$229,$A7,Diario!$C$2:$C$229,"681*",Diario!$B$2:$B$229,"&lt;="&amp;FechaCorte)</f>
        <v>261.78</v>
      </c>
      <c r="J7" s="18" t="n">
        <f aca="false">SUMIFS(Diario!$K$2:$K$229,Diario!$I$2:$I$229,$A7,Diario!$C$2:$C$229,"218*",Diario!$B$2:$B$229,"&lt;="&amp;FechaCorte)+SUMIFS(Diario!$K$2:$K$229,Diario!$I$2:$I$229,$A7,Diario!$C$2:$C$229,"281*",Diario!$B$2:$B$229,"&lt;="&amp;FechaCorte)</f>
        <v>0</v>
      </c>
      <c r="K7" s="18" t="n">
        <f aca="false">-SUMIFS(Diario!$K$2:$K$229,Diario!$I$2:$I$229,$A7,Diario!$C$2:$C$229,"7*",Diario!$H$2:$H$229,"&lt;&gt;REG",Diario!$B$2:$B$229,"&lt;="&amp;FechaCorte)</f>
        <v>-0</v>
      </c>
      <c r="L7" s="18" t="n">
        <f aca="false">SUMIFS(Diario!$K$2:$K$229,Diario!$I$2:$I$229,$A7,Diario!$C$2:$C$229,"6*",Diario!$H$2:$H$229,"&lt;&gt;REG",Diario!$B$2:$B$229,"&lt;="&amp;FechaCorte)</f>
        <v>3807.86</v>
      </c>
      <c r="M7" s="18" t="n">
        <f aca="false">K7-L7</f>
        <v>-3807.86</v>
      </c>
    </row>
    <row r="8" customFormat="false" ht="15" hidden="false" customHeight="false" outlineLevel="0" collapsed="false">
      <c r="A8" s="6" t="s">
        <v>229</v>
      </c>
      <c r="B8" s="6" t="s">
        <v>230</v>
      </c>
      <c r="C8" s="6" t="s">
        <v>231</v>
      </c>
      <c r="D8" s="6" t="s">
        <v>232</v>
      </c>
      <c r="E8" s="25" t="n">
        <v>6967.03</v>
      </c>
      <c r="F8" s="9" t="s">
        <v>224</v>
      </c>
      <c r="G8" s="27" t="n">
        <v>0.16</v>
      </c>
      <c r="H8" s="18" t="n">
        <f aca="false">SUMIFS(Diario!$F$2:$F$229,Diario!$I$2:$I$229,$A8,Diario!$C$2:$C$229,"218*",Diario!$B$2:$B$229,"&lt;="&amp;FechaCorte)</f>
        <v>10475.76</v>
      </c>
      <c r="I8" s="18" t="n">
        <f aca="false">SUMIFS(Diario!$K$2:$K$229,Diario!$I$2:$I$229,$A8,Diario!$C$2:$C$229,"681*",Diario!$B$2:$B$229,"&lt;="&amp;FechaCorte)</f>
        <v>0</v>
      </c>
      <c r="J8" s="18" t="n">
        <f aca="false">SUMIFS(Diario!$K$2:$K$229,Diario!$I$2:$I$229,$A8,Diario!$C$2:$C$229,"218*",Diario!$B$2:$B$229,"&lt;="&amp;FechaCorte)+SUMIFS(Diario!$K$2:$K$229,Diario!$I$2:$I$229,$A8,Diario!$C$2:$C$229,"281*",Diario!$B$2:$B$229,"&lt;="&amp;FechaCorte)</f>
        <v>10475.76</v>
      </c>
      <c r="K8" s="18" t="n">
        <f aca="false">-SUMIFS(Diario!$K$2:$K$229,Diario!$I$2:$I$229,$A8,Diario!$C$2:$C$229,"7*",Diario!$H$2:$H$229,"&lt;&gt;REG",Diario!$B$2:$B$229,"&lt;="&amp;FechaCorte)</f>
        <v>-0</v>
      </c>
      <c r="L8" s="18" t="n">
        <f aca="false">SUMIFS(Diario!$K$2:$K$229,Diario!$I$2:$I$229,$A8,Diario!$C$2:$C$229,"6*",Diario!$H$2:$H$229,"&lt;&gt;REG",Diario!$B$2:$B$229,"&lt;="&amp;FechaCorte)</f>
        <v>476.55</v>
      </c>
      <c r="M8" s="18" t="n">
        <f aca="false">K8-L8</f>
        <v>-476.55</v>
      </c>
    </row>
    <row r="9" customFormat="false" ht="15" hidden="false" customHeight="false" outlineLevel="0" collapsed="false">
      <c r="A9" s="6" t="s">
        <v>233</v>
      </c>
      <c r="B9" s="6" t="s">
        <v>234</v>
      </c>
      <c r="C9" s="6" t="s">
        <v>235</v>
      </c>
      <c r="D9" s="6" t="s">
        <v>236</v>
      </c>
      <c r="E9" s="25" t="n">
        <v>7931.03</v>
      </c>
      <c r="F9" s="9" t="s">
        <v>224</v>
      </c>
      <c r="G9" s="27" t="n">
        <v>0.16</v>
      </c>
      <c r="H9" s="18" t="n">
        <f aca="false">SUMIFS(Diario!$F$2:$F$229,Diario!$I$2:$I$229,$A9,Diario!$C$2:$C$229,"218*",Diario!$B$2:$B$229,"&lt;="&amp;FechaCorte)</f>
        <v>9926.13</v>
      </c>
      <c r="I9" s="18" t="n">
        <f aca="false">SUMIFS(Diario!$K$2:$K$229,Diario!$I$2:$I$229,$A9,Diario!$C$2:$C$229,"681*",Diario!$B$2:$B$229,"&lt;="&amp;FechaCorte)</f>
        <v>0</v>
      </c>
      <c r="J9" s="18" t="n">
        <f aca="false">SUMIFS(Diario!$K$2:$K$229,Diario!$I$2:$I$229,$A9,Diario!$C$2:$C$229,"218*",Diario!$B$2:$B$229,"&lt;="&amp;FechaCorte)+SUMIFS(Diario!$K$2:$K$229,Diario!$I$2:$I$229,$A9,Diario!$C$2:$C$229,"281*",Diario!$B$2:$B$229,"&lt;="&amp;FechaCorte)</f>
        <v>9926.13</v>
      </c>
      <c r="K9" s="18" t="n">
        <f aca="false">-SUMIFS(Diario!$K$2:$K$229,Diario!$I$2:$I$229,$A9,Diario!$C$2:$C$229,"7*",Diario!$H$2:$H$229,"&lt;&gt;REG",Diario!$B$2:$B$229,"&lt;="&amp;FechaCorte)</f>
        <v>-0</v>
      </c>
      <c r="L9" s="18" t="n">
        <f aca="false">SUMIFS(Diario!$K$2:$K$229,Diario!$I$2:$I$229,$A9,Diario!$C$2:$C$229,"6*",Diario!$H$2:$H$229,"&lt;&gt;REG",Diario!$B$2:$B$229,"&lt;="&amp;FechaCorte)</f>
        <v>1233.38</v>
      </c>
      <c r="M9" s="18" t="n">
        <f aca="false">K9-L9</f>
        <v>-1233.38</v>
      </c>
    </row>
    <row r="10" customFormat="false" ht="15" hidden="false" customHeight="false" outlineLevel="0" collapsed="false">
      <c r="A10" s="20"/>
      <c r="B10" s="21" t="s">
        <v>237</v>
      </c>
      <c r="C10" s="21"/>
      <c r="D10" s="21"/>
      <c r="E10" s="22" t="n">
        <f aca="false">SUM(E5:E9)</f>
        <v>33690.06</v>
      </c>
      <c r="F10" s="21"/>
      <c r="G10" s="21"/>
      <c r="H10" s="22" t="n">
        <f aca="false">SUM(H5:H9)</f>
        <v>39947.63</v>
      </c>
      <c r="I10" s="22" t="n">
        <f aca="false">SUM(I5:I9)</f>
        <v>1711.87</v>
      </c>
      <c r="J10" s="22" t="n">
        <f aca="false">SUM(J5:J9)</f>
        <v>32340.84</v>
      </c>
      <c r="K10" s="22" t="n">
        <f aca="false">SUM(K5:K9)</f>
        <v>1159.22</v>
      </c>
      <c r="L10" s="22" t="n">
        <f aca="false">SUM(L5:L9)</f>
        <v>9416.85</v>
      </c>
      <c r="M10" s="22" t="n">
        <f aca="false">SUM(M5:M9)</f>
        <v>-8257.63</v>
      </c>
    </row>
    <row r="12" customFormat="false" ht="15" hidden="false" customHeight="false" outlineLevel="0" collapsed="false">
      <c r="B12" s="2" t="s">
        <v>238</v>
      </c>
    </row>
    <row r="13" customFormat="false" ht="15" hidden="false" customHeight="false" outlineLevel="0" collapsed="false">
      <c r="B13" s="2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7"/>
    <col collapsed="false" customWidth="true" hidden="false" outlineLevel="0" max="6" min="5" style="0" width="18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241</v>
      </c>
    </row>
    <row r="4" customFormat="false" ht="23.85" hidden="false" customHeight="false" outlineLevel="0" collapsed="false">
      <c r="A4" s="5" t="s">
        <v>242</v>
      </c>
      <c r="B4" s="5" t="s">
        <v>133</v>
      </c>
      <c r="C4" s="5" t="s">
        <v>135</v>
      </c>
      <c r="D4" s="5" t="s">
        <v>243</v>
      </c>
      <c r="E4" s="5" t="s">
        <v>244</v>
      </c>
      <c r="F4" s="5" t="s">
        <v>245</v>
      </c>
      <c r="G4" s="5" t="s">
        <v>26</v>
      </c>
    </row>
    <row r="5" customFormat="false" ht="15" hidden="false" customHeight="false" outlineLevel="0" collapsed="false">
      <c r="A5" s="16" t="s">
        <v>246</v>
      </c>
      <c r="B5" s="28" t="n">
        <v>46023</v>
      </c>
      <c r="C5" s="29" t="n">
        <v>46112</v>
      </c>
      <c r="D5" s="18" t="n">
        <f aca="false">-SUMIFS(Diario!$K$2:$K$229,Diario!$C$2:$C$229,"477*",Diario!$B$2:$B$229,"&gt;="&amp;B5,Diario!$B$2:$B$229,"&lt;="&amp;C5,Diario!$H$2:$H$229,"&lt;&gt;IVA")</f>
        <v>-0</v>
      </c>
      <c r="E5" s="18" t="n">
        <f aca="false">SUMIFS(Diario!$K$2:$K$229,Diario!$C$2:$C$229,"472*",Diario!$B$2:$B$229,"&gt;="&amp;B5,Diario!$B$2:$B$229,"&lt;="&amp;C5,Diario!$H$2:$H$229,"&lt;&gt;IVA")</f>
        <v>236.54</v>
      </c>
      <c r="F5" s="18" t="n">
        <f aca="false">D5-E5</f>
        <v>-236.54</v>
      </c>
      <c r="G5" s="6" t="s">
        <v>247</v>
      </c>
    </row>
    <row r="6" customFormat="false" ht="15" hidden="false" customHeight="false" outlineLevel="0" collapsed="false">
      <c r="A6" s="16" t="s">
        <v>248</v>
      </c>
      <c r="B6" s="28" t="n">
        <v>46113</v>
      </c>
      <c r="C6" s="29" t="n">
        <v>46203</v>
      </c>
      <c r="D6" s="18" t="n">
        <f aca="false">-SUMIFS(Diario!$K$2:$K$229,Diario!$C$2:$C$229,"477*",Diario!$B$2:$B$229,"&gt;="&amp;B6,Diario!$B$2:$B$229,"&lt;="&amp;C6,Diario!$H$2:$H$229,"&lt;&gt;IVA")</f>
        <v>885.72</v>
      </c>
      <c r="E6" s="18" t="n">
        <f aca="false">SUMIFS(Diario!$K$2:$K$229,Diario!$C$2:$C$229,"472*",Diario!$B$2:$B$229,"&gt;="&amp;B6,Diario!$B$2:$B$229,"&lt;="&amp;C6,Diario!$H$2:$H$229,"&lt;&gt;IVA")</f>
        <v>371.69</v>
      </c>
      <c r="F6" s="18" t="n">
        <f aca="false">D6-E6</f>
        <v>514.03</v>
      </c>
      <c r="G6" s="6" t="s">
        <v>249</v>
      </c>
    </row>
    <row r="7" customFormat="false" ht="15" hidden="false" customHeight="false" outlineLevel="0" collapsed="false">
      <c r="A7" s="16" t="s">
        <v>250</v>
      </c>
      <c r="B7" s="28" t="n">
        <v>46204</v>
      </c>
      <c r="C7" s="29" t="n">
        <v>46295</v>
      </c>
      <c r="D7" s="18" t="n">
        <f aca="false">-SUMIFS(Diario!$K$2:$K$229,Diario!$C$2:$C$229,"477*",Diario!$B$2:$B$229,"&gt;="&amp;B7,Diario!$B$2:$B$229,"&lt;="&amp;C7,Diario!$H$2:$H$229,"&lt;&gt;IVA")</f>
        <v>-0</v>
      </c>
      <c r="E7" s="18" t="n">
        <f aca="false">SUMIFS(Diario!$K$2:$K$229,Diario!$C$2:$C$229,"472*",Diario!$B$2:$B$229,"&gt;="&amp;B7,Diario!$B$2:$B$229,"&lt;="&amp;C7,Diario!$H$2:$H$229,"&lt;&gt;IVA")</f>
        <v>3312.31</v>
      </c>
      <c r="F7" s="18" t="n">
        <f aca="false">D7-E7</f>
        <v>-3312.31</v>
      </c>
      <c r="G7" s="6" t="s">
        <v>251</v>
      </c>
    </row>
    <row r="8" customFormat="false" ht="15" hidden="false" customHeight="false" outlineLevel="0" collapsed="false">
      <c r="A8" s="16" t="s">
        <v>252</v>
      </c>
      <c r="B8" s="28" t="n">
        <v>46296</v>
      </c>
      <c r="C8" s="29" t="n">
        <v>46387</v>
      </c>
      <c r="D8" s="18" t="n">
        <f aca="false">-SUMIFS(Diario!$K$2:$K$229,Diario!$C$2:$C$229,"477*",Diario!$B$2:$B$229,"&gt;="&amp;B8,Diario!$B$2:$B$229,"&lt;="&amp;C8,Diario!$H$2:$H$229,"&lt;&gt;IVA")</f>
        <v>-0</v>
      </c>
      <c r="E8" s="18" t="n">
        <f aca="false">SUMIFS(Diario!$K$2:$K$229,Diario!$C$2:$C$229,"472*",Diario!$B$2:$B$229,"&gt;="&amp;B8,Diario!$B$2:$B$229,"&lt;="&amp;C8,Diario!$H$2:$H$229,"&lt;&gt;IVA")</f>
        <v>0</v>
      </c>
      <c r="F8" s="18" t="n">
        <f aca="false">D8-E8</f>
        <v>-0</v>
      </c>
      <c r="G8" s="6" t="s">
        <v>253</v>
      </c>
    </row>
    <row r="9" customFormat="false" ht="15" hidden="false" customHeight="false" outlineLevel="0" collapsed="false">
      <c r="A9" s="20" t="s">
        <v>237</v>
      </c>
      <c r="B9" s="21"/>
      <c r="C9" s="21"/>
      <c r="D9" s="22" t="n">
        <f aca="false">SUM(D5:D8)</f>
        <v>885.72</v>
      </c>
      <c r="E9" s="22" t="n">
        <f aca="false">SUM(E5:E8)</f>
        <v>3920.54</v>
      </c>
      <c r="F9" s="22" t="n">
        <f aca="false">SUM(F5:F8)</f>
        <v>-3034.82</v>
      </c>
      <c r="G9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20"/>
  </cols>
  <sheetData>
    <row r="1" customFormat="false" ht="17.35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5" t="s">
        <v>256</v>
      </c>
      <c r="B4" s="5" t="s">
        <v>257</v>
      </c>
      <c r="C4" s="5" t="s">
        <v>258</v>
      </c>
    </row>
    <row r="5" customFormat="false" ht="15" hidden="false" customHeight="false" outlineLevel="0" collapsed="false">
      <c r="A5" s="30" t="s">
        <v>259</v>
      </c>
      <c r="B5" s="31" t="s">
        <v>260</v>
      </c>
      <c r="C5" s="31" t="s">
        <v>261</v>
      </c>
    </row>
    <row r="6" customFormat="false" ht="15" hidden="false" customHeight="false" outlineLevel="0" collapsed="false">
      <c r="A6" s="30" t="s">
        <v>259</v>
      </c>
      <c r="B6" s="31" t="s">
        <v>260</v>
      </c>
      <c r="C6" s="31" t="s">
        <v>262</v>
      </c>
    </row>
    <row r="7" customFormat="false" ht="15" hidden="false" customHeight="false" outlineLevel="0" collapsed="false">
      <c r="A7" s="30" t="s">
        <v>259</v>
      </c>
      <c r="B7" s="31" t="s">
        <v>260</v>
      </c>
      <c r="C7" s="31" t="s">
        <v>263</v>
      </c>
    </row>
    <row r="8" customFormat="false" ht="15" hidden="false" customHeight="false" outlineLevel="0" collapsed="false">
      <c r="A8" s="30" t="s">
        <v>259</v>
      </c>
      <c r="B8" s="31" t="s">
        <v>260</v>
      </c>
      <c r="C8" s="31" t="s">
        <v>264</v>
      </c>
    </row>
    <row r="9" customFormat="false" ht="15" hidden="false" customHeight="false" outlineLevel="0" collapsed="false">
      <c r="A9" s="30" t="s">
        <v>259</v>
      </c>
      <c r="B9" s="31" t="s">
        <v>265</v>
      </c>
      <c r="C9" s="31" t="s">
        <v>266</v>
      </c>
    </row>
    <row r="10" customFormat="false" ht="15" hidden="false" customHeight="false" outlineLevel="0" collapsed="false">
      <c r="A10" s="30" t="s">
        <v>259</v>
      </c>
      <c r="B10" s="31" t="s">
        <v>267</v>
      </c>
      <c r="C10" s="31" t="s">
        <v>268</v>
      </c>
    </row>
    <row r="11" customFormat="false" ht="15" hidden="false" customHeight="false" outlineLevel="0" collapsed="false">
      <c r="A11" s="30" t="s">
        <v>259</v>
      </c>
      <c r="B11" s="31" t="s">
        <v>269</v>
      </c>
      <c r="C11" s="31" t="s">
        <v>270</v>
      </c>
    </row>
    <row r="12" customFormat="false" ht="15" hidden="false" customHeight="false" outlineLevel="0" collapsed="false">
      <c r="A12" s="30" t="s">
        <v>259</v>
      </c>
      <c r="B12" s="31" t="s">
        <v>271</v>
      </c>
      <c r="C12" s="31" t="s">
        <v>272</v>
      </c>
    </row>
    <row r="13" customFormat="false" ht="15" hidden="false" customHeight="false" outlineLevel="0" collapsed="false">
      <c r="A13" s="30" t="s">
        <v>259</v>
      </c>
      <c r="B13" s="31" t="s">
        <v>273</v>
      </c>
      <c r="C13" s="31" t="s">
        <v>274</v>
      </c>
    </row>
    <row r="14" customFormat="false" ht="15" hidden="false" customHeight="false" outlineLevel="0" collapsed="false">
      <c r="A14" s="30" t="s">
        <v>259</v>
      </c>
      <c r="B14" s="31" t="s">
        <v>273</v>
      </c>
      <c r="C14" s="31" t="s">
        <v>275</v>
      </c>
    </row>
    <row r="15" customFormat="false" ht="15" hidden="false" customHeight="false" outlineLevel="0" collapsed="false">
      <c r="A15" s="30" t="s">
        <v>259</v>
      </c>
      <c r="B15" s="31" t="s">
        <v>276</v>
      </c>
      <c r="C15" s="31" t="s">
        <v>277</v>
      </c>
    </row>
    <row r="16" customFormat="false" ht="15" hidden="false" customHeight="false" outlineLevel="0" collapsed="false">
      <c r="A16" s="30" t="s">
        <v>259</v>
      </c>
      <c r="B16" s="31" t="s">
        <v>276</v>
      </c>
      <c r="C16" s="31" t="s">
        <v>278</v>
      </c>
    </row>
    <row r="17" customFormat="false" ht="23.85" hidden="false" customHeight="false" outlineLevel="0" collapsed="false">
      <c r="A17" s="32" t="s">
        <v>279</v>
      </c>
      <c r="B17" s="31" t="s">
        <v>280</v>
      </c>
      <c r="C17" s="31" t="s">
        <v>281</v>
      </c>
    </row>
    <row r="18" customFormat="false" ht="23.85" hidden="false" customHeight="false" outlineLevel="0" collapsed="false">
      <c r="A18" s="32" t="s">
        <v>279</v>
      </c>
      <c r="B18" s="31" t="s">
        <v>280</v>
      </c>
      <c r="C18" s="31" t="s">
        <v>282</v>
      </c>
    </row>
    <row r="19" customFormat="false" ht="15" hidden="false" customHeight="false" outlineLevel="0" collapsed="false">
      <c r="A19" s="32" t="s">
        <v>279</v>
      </c>
      <c r="B19" s="31" t="s">
        <v>38</v>
      </c>
      <c r="C19" s="31" t="s">
        <v>283</v>
      </c>
    </row>
    <row r="20" customFormat="false" ht="15" hidden="false" customHeight="false" outlineLevel="0" collapsed="false">
      <c r="A20" s="32" t="s">
        <v>279</v>
      </c>
      <c r="B20" s="31" t="s">
        <v>284</v>
      </c>
      <c r="C20" s="31" t="s">
        <v>285</v>
      </c>
    </row>
    <row r="21" customFormat="false" ht="15" hidden="false" customHeight="false" outlineLevel="0" collapsed="false">
      <c r="A21" s="32" t="s">
        <v>279</v>
      </c>
      <c r="B21" s="31" t="s">
        <v>284</v>
      </c>
      <c r="C21" s="31" t="s">
        <v>286</v>
      </c>
    </row>
    <row r="22" customFormat="false" ht="23.85" hidden="false" customHeight="false" outlineLevel="0" collapsed="false">
      <c r="A22" s="32" t="s">
        <v>279</v>
      </c>
      <c r="B22" s="31" t="s">
        <v>287</v>
      </c>
      <c r="C22" s="31" t="s">
        <v>288</v>
      </c>
    </row>
    <row r="23" customFormat="false" ht="15" hidden="false" customHeight="false" outlineLevel="0" collapsed="false">
      <c r="A23" s="33" t="s">
        <v>289</v>
      </c>
      <c r="B23" s="31" t="s">
        <v>290</v>
      </c>
      <c r="C23" s="31" t="s">
        <v>291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60"/>
    <col collapsed="false" customWidth="true" hidden="false" outlineLevel="0" max="7" min="6" style="0" width="12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4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9"/>
  </cols>
  <sheetData>
    <row r="1" customFormat="false" ht="23.85" hidden="false" customHeight="false" outlineLevel="0" collapsed="false">
      <c r="A1" s="5" t="s">
        <v>292</v>
      </c>
      <c r="B1" s="5" t="s">
        <v>293</v>
      </c>
      <c r="C1" s="5" t="s">
        <v>175</v>
      </c>
      <c r="D1" s="5" t="s">
        <v>294</v>
      </c>
      <c r="E1" s="5" t="s">
        <v>295</v>
      </c>
      <c r="F1" s="5" t="s">
        <v>296</v>
      </c>
      <c r="G1" s="5" t="s">
        <v>297</v>
      </c>
      <c r="H1" s="5" t="s">
        <v>298</v>
      </c>
      <c r="I1" s="5" t="s">
        <v>206</v>
      </c>
      <c r="J1" s="5" t="s">
        <v>299</v>
      </c>
      <c r="K1" s="5" t="s">
        <v>300</v>
      </c>
      <c r="L1" s="5" t="s">
        <v>301</v>
      </c>
      <c r="M1" s="5" t="s">
        <v>302</v>
      </c>
    </row>
    <row r="2" customFormat="false" ht="15" hidden="false" customHeight="false" outlineLevel="0" collapsed="false">
      <c r="A2" s="6" t="n">
        <v>1</v>
      </c>
      <c r="B2" s="29" t="n">
        <v>46022</v>
      </c>
      <c r="C2" s="34" t="s">
        <v>303</v>
      </c>
      <c r="D2" s="6" t="s">
        <v>304</v>
      </c>
      <c r="E2" s="6" t="s">
        <v>305</v>
      </c>
      <c r="F2" s="18" t="n">
        <v>9192</v>
      </c>
      <c r="G2" s="18"/>
      <c r="H2" s="6" t="s">
        <v>306</v>
      </c>
      <c r="I2" s="6"/>
      <c r="J2" s="6" t="s">
        <v>307</v>
      </c>
      <c r="K2" s="18" t="n">
        <f aca="false">F2-G2</f>
        <v>9192</v>
      </c>
      <c r="L2" s="6" t="str">
        <f aca="false">INDEX('Plan de cuentas'!$C$5:$C$55,MATCH(C2,'Plan de cuentas'!$A$5:$A$55,0))</f>
        <v>AII2</v>
      </c>
      <c r="M2" s="6" t="str">
        <f aca="false">INDEX('Plan de cuentas'!$D$5:$D$55,MATCH(C2,'Plan de cuentas'!$A$5:$A$55,0))</f>
        <v>-</v>
      </c>
    </row>
    <row r="3" customFormat="false" ht="15" hidden="false" customHeight="false" outlineLevel="0" collapsed="false">
      <c r="A3" s="6" t="n">
        <v>1</v>
      </c>
      <c r="B3" s="29" t="n">
        <v>46022</v>
      </c>
      <c r="C3" s="34" t="s">
        <v>308</v>
      </c>
      <c r="D3" s="6" t="s">
        <v>309</v>
      </c>
      <c r="E3" s="6" t="s">
        <v>310</v>
      </c>
      <c r="F3" s="18" t="n">
        <v>66126.61</v>
      </c>
      <c r="G3" s="18"/>
      <c r="H3" s="6" t="s">
        <v>306</v>
      </c>
      <c r="I3" s="6"/>
      <c r="J3" s="6" t="s">
        <v>307</v>
      </c>
      <c r="K3" s="18" t="n">
        <f aca="false">F3-G3</f>
        <v>66126.61</v>
      </c>
      <c r="L3" s="6" t="str">
        <f aca="false">INDEX('Plan de cuentas'!$C$5:$C$55,MATCH(C3,'Plan de cuentas'!$A$5:$A$55,0))</f>
        <v>BVII</v>
      </c>
      <c r="M3" s="6" t="str">
        <f aca="false">INDEX('Plan de cuentas'!$D$5:$D$55,MATCH(C3,'Plan de cuentas'!$A$5:$A$55,0))</f>
        <v>-</v>
      </c>
    </row>
    <row r="4" customFormat="false" ht="15" hidden="false" customHeight="false" outlineLevel="0" collapsed="false">
      <c r="A4" s="6" t="n">
        <v>1</v>
      </c>
      <c r="B4" s="29" t="n">
        <v>46022</v>
      </c>
      <c r="C4" s="34" t="s">
        <v>311</v>
      </c>
      <c r="D4" s="6" t="s">
        <v>312</v>
      </c>
      <c r="E4" s="6" t="s">
        <v>313</v>
      </c>
      <c r="F4" s="18"/>
      <c r="G4" s="18" t="n">
        <v>3100</v>
      </c>
      <c r="H4" s="6" t="s">
        <v>306</v>
      </c>
      <c r="I4" s="6"/>
      <c r="J4" s="6" t="s">
        <v>307</v>
      </c>
      <c r="K4" s="18" t="n">
        <f aca="false">F4-G4</f>
        <v>-3100</v>
      </c>
      <c r="L4" s="6" t="str">
        <f aca="false">INDEX('Plan de cuentas'!$C$5:$C$55,MATCH(C4,'Plan de cuentas'!$A$5:$A$55,0))</f>
        <v>PAI</v>
      </c>
      <c r="M4" s="6" t="str">
        <f aca="false">INDEX('Plan de cuentas'!$D$5:$D$55,MATCH(C4,'Plan de cuentas'!$A$5:$A$55,0))</f>
        <v>-</v>
      </c>
    </row>
    <row r="5" customFormat="false" ht="15" hidden="false" customHeight="false" outlineLevel="0" collapsed="false">
      <c r="A5" s="6" t="n">
        <v>1</v>
      </c>
      <c r="B5" s="29" t="n">
        <v>46022</v>
      </c>
      <c r="C5" s="34" t="s">
        <v>314</v>
      </c>
      <c r="D5" s="6" t="s">
        <v>315</v>
      </c>
      <c r="E5" s="6" t="s">
        <v>316</v>
      </c>
      <c r="F5" s="18"/>
      <c r="G5" s="18" t="n">
        <v>72153.73</v>
      </c>
      <c r="H5" s="6" t="s">
        <v>306</v>
      </c>
      <c r="I5" s="6"/>
      <c r="J5" s="6" t="s">
        <v>307</v>
      </c>
      <c r="K5" s="18" t="n">
        <f aca="false">F5-G5</f>
        <v>-72153.73</v>
      </c>
      <c r="L5" s="6" t="str">
        <f aca="false">INDEX('Plan de cuentas'!$C$5:$C$55,MATCH(C5,'Plan de cuentas'!$A$5:$A$55,0))</f>
        <v>PAVI</v>
      </c>
      <c r="M5" s="6" t="str">
        <f aca="false">INDEX('Plan de cuentas'!$D$5:$D$55,MATCH(C5,'Plan de cuentas'!$A$5:$A$55,0))</f>
        <v>-</v>
      </c>
    </row>
    <row r="6" customFormat="false" ht="15" hidden="false" customHeight="false" outlineLevel="0" collapsed="false">
      <c r="A6" s="6" t="n">
        <v>1</v>
      </c>
      <c r="B6" s="29" t="n">
        <v>46022</v>
      </c>
      <c r="C6" s="34" t="s">
        <v>317</v>
      </c>
      <c r="D6" s="6" t="s">
        <v>318</v>
      </c>
      <c r="E6" s="6" t="s">
        <v>319</v>
      </c>
      <c r="F6" s="18"/>
      <c r="G6" s="18" t="n">
        <v>64.88</v>
      </c>
      <c r="H6" s="6" t="s">
        <v>306</v>
      </c>
      <c r="I6" s="6"/>
      <c r="J6" s="6" t="s">
        <v>307</v>
      </c>
      <c r="K6" s="18" t="n">
        <f aca="false">F6-G6</f>
        <v>-64.88</v>
      </c>
      <c r="L6" s="6" t="str">
        <f aca="false">INDEX('Plan de cuentas'!$C$5:$C$55,MATCH(C6,'Plan de cuentas'!$A$5:$A$55,0))</f>
        <v>PAVII</v>
      </c>
      <c r="M6" s="6" t="str">
        <f aca="false">INDEX('Plan de cuentas'!$D$5:$D$55,MATCH(C6,'Plan de cuentas'!$A$5:$A$55,0))</f>
        <v>-</v>
      </c>
    </row>
    <row r="7" customFormat="false" ht="15" hidden="false" customHeight="false" outlineLevel="0" collapsed="false">
      <c r="A7" s="6" t="n">
        <v>2</v>
      </c>
      <c r="B7" s="29" t="n">
        <v>46023</v>
      </c>
      <c r="C7" s="34" t="s">
        <v>317</v>
      </c>
      <c r="D7" s="6" t="s">
        <v>318</v>
      </c>
      <c r="E7" s="6" t="s">
        <v>320</v>
      </c>
      <c r="F7" s="18" t="n">
        <v>64.88</v>
      </c>
      <c r="G7" s="18"/>
      <c r="H7" s="6" t="s">
        <v>321</v>
      </c>
      <c r="I7" s="6"/>
      <c r="J7" s="6" t="s">
        <v>322</v>
      </c>
      <c r="K7" s="18" t="n">
        <f aca="false">F7-G7</f>
        <v>64.88</v>
      </c>
      <c r="L7" s="6" t="str">
        <f aca="false">INDEX('Plan de cuentas'!$C$5:$C$55,MATCH(C7,'Plan de cuentas'!$A$5:$A$55,0))</f>
        <v>PAVII</v>
      </c>
      <c r="M7" s="6" t="str">
        <f aca="false">INDEX('Plan de cuentas'!$D$5:$D$55,MATCH(C7,'Plan de cuentas'!$A$5:$A$55,0))</f>
        <v>-</v>
      </c>
    </row>
    <row r="8" customFormat="false" ht="15" hidden="false" customHeight="false" outlineLevel="0" collapsed="false">
      <c r="A8" s="6" t="n">
        <v>2</v>
      </c>
      <c r="B8" s="29" t="n">
        <v>46023</v>
      </c>
      <c r="C8" s="34" t="s">
        <v>323</v>
      </c>
      <c r="D8" s="6" t="s">
        <v>324</v>
      </c>
      <c r="E8" s="6" t="s">
        <v>325</v>
      </c>
      <c r="F8" s="18"/>
      <c r="G8" s="18" t="n">
        <v>6.49</v>
      </c>
      <c r="H8" s="6" t="s">
        <v>321</v>
      </c>
      <c r="I8" s="6"/>
      <c r="J8" s="6" t="s">
        <v>322</v>
      </c>
      <c r="K8" s="18" t="n">
        <f aca="false">F8-G8</f>
        <v>-6.49</v>
      </c>
      <c r="L8" s="6" t="str">
        <f aca="false">INDEX('Plan de cuentas'!$C$5:$C$55,MATCH(C8,'Plan de cuentas'!$A$5:$A$55,0))</f>
        <v>PAIII</v>
      </c>
      <c r="M8" s="6" t="str">
        <f aca="false">INDEX('Plan de cuentas'!$D$5:$D$55,MATCH(C8,'Plan de cuentas'!$A$5:$A$55,0))</f>
        <v>-</v>
      </c>
    </row>
    <row r="9" customFormat="false" ht="15" hidden="false" customHeight="false" outlineLevel="0" collapsed="false">
      <c r="A9" s="6" t="n">
        <v>2</v>
      </c>
      <c r="B9" s="29" t="n">
        <v>46023</v>
      </c>
      <c r="C9" s="34" t="s">
        <v>326</v>
      </c>
      <c r="D9" s="6" t="s">
        <v>327</v>
      </c>
      <c r="E9" s="6" t="s">
        <v>328</v>
      </c>
      <c r="F9" s="18"/>
      <c r="G9" s="18" t="n">
        <v>58.39</v>
      </c>
      <c r="H9" s="6" t="s">
        <v>321</v>
      </c>
      <c r="I9" s="6"/>
      <c r="J9" s="6" t="s">
        <v>322</v>
      </c>
      <c r="K9" s="18" t="n">
        <f aca="false">F9-G9</f>
        <v>-58.39</v>
      </c>
      <c r="L9" s="6" t="str">
        <f aca="false">INDEX('Plan de cuentas'!$C$5:$C$55,MATCH(C9,'Plan de cuentas'!$A$5:$A$55,0))</f>
        <v>PAV</v>
      </c>
      <c r="M9" s="6" t="str">
        <f aca="false">INDEX('Plan de cuentas'!$D$5:$D$55,MATCH(C9,'Plan de cuentas'!$A$5:$A$55,0))</f>
        <v>-</v>
      </c>
    </row>
    <row r="10" customFormat="false" ht="15" hidden="false" customHeight="false" outlineLevel="0" collapsed="false">
      <c r="A10" s="6" t="n">
        <v>3</v>
      </c>
      <c r="B10" s="29" t="n">
        <v>46023</v>
      </c>
      <c r="C10" s="34" t="s">
        <v>329</v>
      </c>
      <c r="D10" s="6" t="s">
        <v>330</v>
      </c>
      <c r="E10" s="6" t="s">
        <v>331</v>
      </c>
      <c r="F10" s="18" t="n">
        <v>9192</v>
      </c>
      <c r="G10" s="18"/>
      <c r="H10" s="6" t="s">
        <v>321</v>
      </c>
      <c r="I10" s="6" t="s">
        <v>222</v>
      </c>
      <c r="J10" s="6" t="s">
        <v>332</v>
      </c>
      <c r="K10" s="18" t="n">
        <f aca="false">F10-G10</f>
        <v>9192</v>
      </c>
      <c r="L10" s="6" t="str">
        <f aca="false">INDEX('Plan de cuentas'!$C$5:$C$55,MATCH(C10,'Plan de cuentas'!$A$5:$A$55,0))</f>
        <v>AII1</v>
      </c>
      <c r="M10" s="6" t="str">
        <f aca="false">INDEX('Plan de cuentas'!$D$5:$D$55,MATCH(C10,'Plan de cuentas'!$A$5:$A$55,0))</f>
        <v>-</v>
      </c>
    </row>
    <row r="11" customFormat="false" ht="15" hidden="false" customHeight="false" outlineLevel="0" collapsed="false">
      <c r="A11" s="6" t="n">
        <v>3</v>
      </c>
      <c r="B11" s="29" t="n">
        <v>46023</v>
      </c>
      <c r="C11" s="34" t="s">
        <v>303</v>
      </c>
      <c r="D11" s="6" t="s">
        <v>304</v>
      </c>
      <c r="E11" s="6" t="s">
        <v>331</v>
      </c>
      <c r="F11" s="18"/>
      <c r="G11" s="18" t="n">
        <v>9192</v>
      </c>
      <c r="H11" s="6" t="s">
        <v>321</v>
      </c>
      <c r="I11" s="6" t="s">
        <v>222</v>
      </c>
      <c r="J11" s="6" t="s">
        <v>332</v>
      </c>
      <c r="K11" s="18" t="n">
        <f aca="false">F11-G11</f>
        <v>-9192</v>
      </c>
      <c r="L11" s="6" t="str">
        <f aca="false">INDEX('Plan de cuentas'!$C$5:$C$55,MATCH(C11,'Plan de cuentas'!$A$5:$A$55,0))</f>
        <v>AII2</v>
      </c>
      <c r="M11" s="6" t="str">
        <f aca="false">INDEX('Plan de cuentas'!$D$5:$D$55,MATCH(C11,'Plan de cuentas'!$A$5:$A$55,0))</f>
        <v>-</v>
      </c>
    </row>
    <row r="12" customFormat="false" ht="15" hidden="false" customHeight="false" outlineLevel="0" collapsed="false">
      <c r="A12" s="6" t="n">
        <v>4</v>
      </c>
      <c r="B12" s="29" t="n">
        <v>46023</v>
      </c>
      <c r="C12" s="34" t="s">
        <v>186</v>
      </c>
      <c r="D12" s="6" t="s">
        <v>187</v>
      </c>
      <c r="E12" s="6" t="s">
        <v>333</v>
      </c>
      <c r="F12" s="18" t="n">
        <v>349.46</v>
      </c>
      <c r="G12" s="18"/>
      <c r="H12" s="6" t="s">
        <v>334</v>
      </c>
      <c r="I12" s="6" t="s">
        <v>217</v>
      </c>
      <c r="J12" s="6" t="s">
        <v>335</v>
      </c>
      <c r="K12" s="18" t="n">
        <f aca="false">F12-G12</f>
        <v>349.46</v>
      </c>
      <c r="L12" s="6" t="str">
        <f aca="false">INDEX('Plan de cuentas'!$C$5:$C$55,MATCH(C12,'Plan de cuentas'!$A$5:$A$55,0))</f>
        <v>PAVII</v>
      </c>
      <c r="M12" s="6" t="str">
        <f aca="false">INDEX('Plan de cuentas'!$D$5:$D$55,MATCH(C12,'Plan de cuentas'!$A$5:$A$55,0))</f>
        <v>P7a</v>
      </c>
    </row>
    <row r="13" customFormat="false" ht="15" hidden="false" customHeight="false" outlineLevel="0" collapsed="false">
      <c r="A13" s="6" t="n">
        <v>4</v>
      </c>
      <c r="B13" s="29" t="n">
        <v>46023</v>
      </c>
      <c r="C13" s="34" t="s">
        <v>336</v>
      </c>
      <c r="D13" s="6" t="s">
        <v>337</v>
      </c>
      <c r="E13" s="6" t="s">
        <v>333</v>
      </c>
      <c r="F13" s="18"/>
      <c r="G13" s="18" t="n">
        <v>349.46</v>
      </c>
      <c r="H13" s="6" t="s">
        <v>334</v>
      </c>
      <c r="I13" s="6" t="s">
        <v>217</v>
      </c>
      <c r="J13" s="6" t="s">
        <v>335</v>
      </c>
      <c r="K13" s="18" t="n">
        <f aca="false">F13-G13</f>
        <v>-349.46</v>
      </c>
      <c r="L13" s="6" t="str">
        <f aca="false">INDEX('Plan de cuentas'!$C$5:$C$55,MATCH(C13,'Plan de cuentas'!$A$5:$A$55,0))</f>
        <v>PCV1</v>
      </c>
      <c r="M13" s="6" t="str">
        <f aca="false">INDEX('Plan de cuentas'!$D$5:$D$55,MATCH(C13,'Plan de cuentas'!$A$5:$A$55,0))</f>
        <v>-</v>
      </c>
    </row>
    <row r="14" customFormat="false" ht="15" hidden="false" customHeight="false" outlineLevel="0" collapsed="false">
      <c r="A14" s="6" t="n">
        <v>5</v>
      </c>
      <c r="B14" s="29" t="n">
        <v>46023</v>
      </c>
      <c r="C14" s="34" t="s">
        <v>186</v>
      </c>
      <c r="D14" s="6" t="s">
        <v>187</v>
      </c>
      <c r="E14" s="6" t="s">
        <v>338</v>
      </c>
      <c r="F14" s="18" t="n">
        <v>291.49</v>
      </c>
      <c r="G14" s="18"/>
      <c r="H14" s="6" t="s">
        <v>334</v>
      </c>
      <c r="I14" s="6" t="s">
        <v>222</v>
      </c>
      <c r="J14" s="6" t="s">
        <v>339</v>
      </c>
      <c r="K14" s="18" t="n">
        <f aca="false">F14-G14</f>
        <v>291.49</v>
      </c>
      <c r="L14" s="6" t="str">
        <f aca="false">INDEX('Plan de cuentas'!$C$5:$C$55,MATCH(C14,'Plan de cuentas'!$A$5:$A$55,0))</f>
        <v>PAVII</v>
      </c>
      <c r="M14" s="6" t="str">
        <f aca="false">INDEX('Plan de cuentas'!$D$5:$D$55,MATCH(C14,'Plan de cuentas'!$A$5:$A$55,0))</f>
        <v>P7a</v>
      </c>
    </row>
    <row r="15" customFormat="false" ht="15" hidden="false" customHeight="false" outlineLevel="0" collapsed="false">
      <c r="A15" s="6" t="n">
        <v>5</v>
      </c>
      <c r="B15" s="29" t="n">
        <v>46023</v>
      </c>
      <c r="C15" s="34" t="s">
        <v>336</v>
      </c>
      <c r="D15" s="6" t="s">
        <v>337</v>
      </c>
      <c r="E15" s="6" t="s">
        <v>338</v>
      </c>
      <c r="F15" s="18"/>
      <c r="G15" s="18" t="n">
        <v>291.49</v>
      </c>
      <c r="H15" s="6" t="s">
        <v>334</v>
      </c>
      <c r="I15" s="6" t="s">
        <v>222</v>
      </c>
      <c r="J15" s="6" t="s">
        <v>339</v>
      </c>
      <c r="K15" s="18" t="n">
        <f aca="false">F15-G15</f>
        <v>-291.49</v>
      </c>
      <c r="L15" s="6" t="str">
        <f aca="false">INDEX('Plan de cuentas'!$C$5:$C$55,MATCH(C15,'Plan de cuentas'!$A$5:$A$55,0))</f>
        <v>PCV1</v>
      </c>
      <c r="M15" s="6" t="str">
        <f aca="false">INDEX('Plan de cuentas'!$D$5:$D$55,MATCH(C15,'Plan de cuentas'!$A$5:$A$55,0))</f>
        <v>-</v>
      </c>
    </row>
    <row r="16" customFormat="false" ht="15" hidden="false" customHeight="false" outlineLevel="0" collapsed="false">
      <c r="A16" s="6" t="n">
        <v>6</v>
      </c>
      <c r="B16" s="29" t="n">
        <v>46053</v>
      </c>
      <c r="C16" s="34" t="s">
        <v>198</v>
      </c>
      <c r="D16" s="6" t="s">
        <v>199</v>
      </c>
      <c r="E16" s="6" t="s">
        <v>340</v>
      </c>
      <c r="F16" s="18" t="n">
        <v>124.91</v>
      </c>
      <c r="G16" s="18"/>
      <c r="H16" s="6" t="s">
        <v>341</v>
      </c>
      <c r="I16" s="6" t="s">
        <v>222</v>
      </c>
      <c r="J16" s="6" t="s">
        <v>342</v>
      </c>
      <c r="K16" s="18" t="n">
        <f aca="false">F16-G16</f>
        <v>124.91</v>
      </c>
      <c r="L16" s="6" t="str">
        <f aca="false">INDEX('Plan de cuentas'!$C$5:$C$55,MATCH(C16,'Plan de cuentas'!$A$5:$A$55,0))</f>
        <v>PAVII</v>
      </c>
      <c r="M16" s="6" t="str">
        <f aca="false">INDEX('Plan de cuentas'!$D$5:$D$55,MATCH(C16,'Plan de cuentas'!$A$5:$A$55,0))</f>
        <v>P8</v>
      </c>
    </row>
    <row r="17" customFormat="false" ht="15" hidden="false" customHeight="false" outlineLevel="0" collapsed="false">
      <c r="A17" s="6" t="n">
        <v>6</v>
      </c>
      <c r="B17" s="29" t="n">
        <v>46053</v>
      </c>
      <c r="C17" s="34" t="s">
        <v>343</v>
      </c>
      <c r="D17" s="6" t="s">
        <v>344</v>
      </c>
      <c r="E17" s="6" t="s">
        <v>340</v>
      </c>
      <c r="F17" s="18"/>
      <c r="G17" s="18" t="n">
        <v>124.91</v>
      </c>
      <c r="H17" s="6" t="s">
        <v>341</v>
      </c>
      <c r="I17" s="6" t="s">
        <v>222</v>
      </c>
      <c r="J17" s="6" t="s">
        <v>342</v>
      </c>
      <c r="K17" s="18" t="n">
        <f aca="false">F17-G17</f>
        <v>-124.91</v>
      </c>
      <c r="L17" s="6" t="str">
        <f aca="false">INDEX('Plan de cuentas'!$C$5:$C$55,MATCH(C17,'Plan de cuentas'!$A$5:$A$55,0))</f>
        <v>AII3</v>
      </c>
      <c r="M17" s="6" t="str">
        <f aca="false">INDEX('Plan de cuentas'!$D$5:$D$55,MATCH(C17,'Plan de cuentas'!$A$5:$A$55,0))</f>
        <v>-</v>
      </c>
    </row>
    <row r="18" customFormat="false" ht="15" hidden="false" customHeight="false" outlineLevel="0" collapsed="false">
      <c r="A18" s="6" t="n">
        <v>7</v>
      </c>
      <c r="B18" s="29" t="n">
        <v>46080</v>
      </c>
      <c r="C18" s="34" t="s">
        <v>329</v>
      </c>
      <c r="D18" s="6" t="s">
        <v>330</v>
      </c>
      <c r="E18" s="6" t="s">
        <v>345</v>
      </c>
      <c r="F18" s="18" t="n">
        <v>3800</v>
      </c>
      <c r="G18" s="18"/>
      <c r="H18" s="6" t="s">
        <v>346</v>
      </c>
      <c r="I18" s="6" t="s">
        <v>217</v>
      </c>
      <c r="J18" s="6" t="s">
        <v>347</v>
      </c>
      <c r="K18" s="18" t="n">
        <f aca="false">F18-G18</f>
        <v>3800</v>
      </c>
      <c r="L18" s="6" t="str">
        <f aca="false">INDEX('Plan de cuentas'!$C$5:$C$55,MATCH(C18,'Plan de cuentas'!$A$5:$A$55,0))</f>
        <v>AII1</v>
      </c>
      <c r="M18" s="6" t="str">
        <f aca="false">INDEX('Plan de cuentas'!$D$5:$D$55,MATCH(C18,'Plan de cuentas'!$A$5:$A$55,0))</f>
        <v>-</v>
      </c>
    </row>
    <row r="19" customFormat="false" ht="15" hidden="false" customHeight="false" outlineLevel="0" collapsed="false">
      <c r="A19" s="6" t="n">
        <v>7</v>
      </c>
      <c r="B19" s="29" t="n">
        <v>46080</v>
      </c>
      <c r="C19" s="34" t="s">
        <v>348</v>
      </c>
      <c r="D19" s="6" t="s">
        <v>267</v>
      </c>
      <c r="E19" s="6" t="s">
        <v>345</v>
      </c>
      <c r="F19" s="18"/>
      <c r="G19" s="18" t="n">
        <v>3800</v>
      </c>
      <c r="H19" s="6" t="s">
        <v>346</v>
      </c>
      <c r="I19" s="6" t="s">
        <v>217</v>
      </c>
      <c r="J19" s="6" t="s">
        <v>347</v>
      </c>
      <c r="K19" s="18" t="n">
        <f aca="false">F19-G19</f>
        <v>-3800</v>
      </c>
      <c r="L19" s="6" t="str">
        <f aca="false">INDEX('Plan de cuentas'!$C$5:$C$55,MATCH(C19,'Plan de cuentas'!$A$5:$A$55,0))</f>
        <v>D555</v>
      </c>
      <c r="M19" s="6" t="str">
        <f aca="false">INDEX('Plan de cuentas'!$D$5:$D$55,MATCH(C19,'Plan de cuentas'!$A$5:$A$55,0))</f>
        <v>-</v>
      </c>
    </row>
    <row r="20" customFormat="false" ht="15" hidden="false" customHeight="false" outlineLevel="0" collapsed="false">
      <c r="A20" s="6" t="n">
        <v>8</v>
      </c>
      <c r="B20" s="29" t="n">
        <v>46081</v>
      </c>
      <c r="C20" s="34" t="s">
        <v>198</v>
      </c>
      <c r="D20" s="6" t="s">
        <v>199</v>
      </c>
      <c r="E20" s="6" t="s">
        <v>349</v>
      </c>
      <c r="F20" s="18" t="n">
        <v>3.33</v>
      </c>
      <c r="G20" s="18"/>
      <c r="H20" s="6" t="s">
        <v>341</v>
      </c>
      <c r="I20" s="6" t="s">
        <v>217</v>
      </c>
      <c r="J20" s="6" t="s">
        <v>350</v>
      </c>
      <c r="K20" s="18" t="n">
        <f aca="false">F20-G20</f>
        <v>3.33</v>
      </c>
      <c r="L20" s="6" t="str">
        <f aca="false">INDEX('Plan de cuentas'!$C$5:$C$55,MATCH(C20,'Plan de cuentas'!$A$5:$A$55,0))</f>
        <v>PAVII</v>
      </c>
      <c r="M20" s="6" t="str">
        <f aca="false">INDEX('Plan de cuentas'!$D$5:$D$55,MATCH(C20,'Plan de cuentas'!$A$5:$A$55,0))</f>
        <v>P8</v>
      </c>
    </row>
    <row r="21" customFormat="false" ht="15" hidden="false" customHeight="false" outlineLevel="0" collapsed="false">
      <c r="A21" s="6" t="n">
        <v>8</v>
      </c>
      <c r="B21" s="29" t="n">
        <v>46081</v>
      </c>
      <c r="C21" s="34" t="s">
        <v>343</v>
      </c>
      <c r="D21" s="6" t="s">
        <v>344</v>
      </c>
      <c r="E21" s="6" t="s">
        <v>349</v>
      </c>
      <c r="F21" s="18"/>
      <c r="G21" s="18" t="n">
        <v>3.33</v>
      </c>
      <c r="H21" s="6" t="s">
        <v>341</v>
      </c>
      <c r="I21" s="6" t="s">
        <v>217</v>
      </c>
      <c r="J21" s="6" t="s">
        <v>350</v>
      </c>
      <c r="K21" s="18" t="n">
        <f aca="false">F21-G21</f>
        <v>-3.33</v>
      </c>
      <c r="L21" s="6" t="str">
        <f aca="false">INDEX('Plan de cuentas'!$C$5:$C$55,MATCH(C21,'Plan de cuentas'!$A$5:$A$55,0))</f>
        <v>AII3</v>
      </c>
      <c r="M21" s="6" t="str">
        <f aca="false">INDEX('Plan de cuentas'!$D$5:$D$55,MATCH(C21,'Plan de cuentas'!$A$5:$A$55,0))</f>
        <v>-</v>
      </c>
    </row>
    <row r="22" customFormat="false" ht="15" hidden="false" customHeight="false" outlineLevel="0" collapsed="false">
      <c r="A22" s="6" t="n">
        <v>9</v>
      </c>
      <c r="B22" s="29" t="n">
        <v>46081</v>
      </c>
      <c r="C22" s="34" t="s">
        <v>198</v>
      </c>
      <c r="D22" s="6" t="s">
        <v>199</v>
      </c>
      <c r="E22" s="6" t="s">
        <v>351</v>
      </c>
      <c r="F22" s="18" t="n">
        <v>112.82</v>
      </c>
      <c r="G22" s="18"/>
      <c r="H22" s="6" t="s">
        <v>341</v>
      </c>
      <c r="I22" s="6" t="s">
        <v>222</v>
      </c>
      <c r="J22" s="6" t="s">
        <v>352</v>
      </c>
      <c r="K22" s="18" t="n">
        <f aca="false">F22-G22</f>
        <v>112.82</v>
      </c>
      <c r="L22" s="6" t="str">
        <f aca="false">INDEX('Plan de cuentas'!$C$5:$C$55,MATCH(C22,'Plan de cuentas'!$A$5:$A$55,0))</f>
        <v>PAVII</v>
      </c>
      <c r="M22" s="6" t="str">
        <f aca="false">INDEX('Plan de cuentas'!$D$5:$D$55,MATCH(C22,'Plan de cuentas'!$A$5:$A$55,0))</f>
        <v>P8</v>
      </c>
    </row>
    <row r="23" customFormat="false" ht="15" hidden="false" customHeight="false" outlineLevel="0" collapsed="false">
      <c r="A23" s="6" t="n">
        <v>9</v>
      </c>
      <c r="B23" s="29" t="n">
        <v>46081</v>
      </c>
      <c r="C23" s="34" t="s">
        <v>343</v>
      </c>
      <c r="D23" s="6" t="s">
        <v>344</v>
      </c>
      <c r="E23" s="6" t="s">
        <v>351</v>
      </c>
      <c r="F23" s="18"/>
      <c r="G23" s="18" t="n">
        <v>112.82</v>
      </c>
      <c r="H23" s="6" t="s">
        <v>341</v>
      </c>
      <c r="I23" s="6" t="s">
        <v>222</v>
      </c>
      <c r="J23" s="6" t="s">
        <v>352</v>
      </c>
      <c r="K23" s="18" t="n">
        <f aca="false">F23-G23</f>
        <v>-112.82</v>
      </c>
      <c r="L23" s="6" t="str">
        <f aca="false">INDEX('Plan de cuentas'!$C$5:$C$55,MATCH(C23,'Plan de cuentas'!$A$5:$A$55,0))</f>
        <v>AII3</v>
      </c>
      <c r="M23" s="6" t="str">
        <f aca="false">INDEX('Plan de cuentas'!$D$5:$D$55,MATCH(C23,'Plan de cuentas'!$A$5:$A$55,0))</f>
        <v>-</v>
      </c>
    </row>
    <row r="24" customFormat="false" ht="15" hidden="false" customHeight="false" outlineLevel="0" collapsed="false">
      <c r="A24" s="6" t="n">
        <v>10</v>
      </c>
      <c r="B24" s="29" t="n">
        <v>46084</v>
      </c>
      <c r="C24" s="34" t="s">
        <v>182</v>
      </c>
      <c r="D24" s="6" t="s">
        <v>183</v>
      </c>
      <c r="E24" s="6" t="s">
        <v>353</v>
      </c>
      <c r="F24" s="18" t="n">
        <v>964.26</v>
      </c>
      <c r="G24" s="18"/>
      <c r="H24" s="6" t="s">
        <v>334</v>
      </c>
      <c r="I24" s="6" t="s">
        <v>222</v>
      </c>
      <c r="J24" s="6" t="s">
        <v>354</v>
      </c>
      <c r="K24" s="18" t="n">
        <f aca="false">F24-G24</f>
        <v>964.26</v>
      </c>
      <c r="L24" s="6" t="str">
        <f aca="false">INDEX('Plan de cuentas'!$C$5:$C$55,MATCH(C24,'Plan de cuentas'!$A$5:$A$55,0))</f>
        <v>PAVII</v>
      </c>
      <c r="M24" s="6" t="str">
        <f aca="false">INDEX('Plan de cuentas'!$D$5:$D$55,MATCH(C24,'Plan de cuentas'!$A$5:$A$55,0))</f>
        <v>P7a</v>
      </c>
    </row>
    <row r="25" customFormat="false" ht="15" hidden="false" customHeight="false" outlineLevel="0" collapsed="false">
      <c r="A25" s="6" t="n">
        <v>10</v>
      </c>
      <c r="B25" s="29" t="n">
        <v>46084</v>
      </c>
      <c r="C25" s="34" t="s">
        <v>355</v>
      </c>
      <c r="D25" s="6" t="s">
        <v>356</v>
      </c>
      <c r="E25" s="6" t="s">
        <v>357</v>
      </c>
      <c r="F25" s="18" t="n">
        <v>202.52</v>
      </c>
      <c r="G25" s="18"/>
      <c r="H25" s="6" t="s">
        <v>334</v>
      </c>
      <c r="I25" s="6" t="s">
        <v>222</v>
      </c>
      <c r="J25" s="6" t="s">
        <v>354</v>
      </c>
      <c r="K25" s="18" t="n">
        <f aca="false">F25-G25</f>
        <v>202.52</v>
      </c>
      <c r="L25" s="6" t="str">
        <f aca="false">INDEX('Plan de cuentas'!$C$5:$C$55,MATCH(C25,'Plan de cuentas'!$A$5:$A$55,0))</f>
        <v>BIII2</v>
      </c>
      <c r="M25" s="6" t="str">
        <f aca="false">INDEX('Plan de cuentas'!$D$5:$D$55,MATCH(C25,'Plan de cuentas'!$A$5:$A$55,0))</f>
        <v>-</v>
      </c>
    </row>
    <row r="26" customFormat="false" ht="15" hidden="false" customHeight="false" outlineLevel="0" collapsed="false">
      <c r="A26" s="6" t="n">
        <v>10</v>
      </c>
      <c r="B26" s="29" t="n">
        <v>46084</v>
      </c>
      <c r="C26" s="34" t="s">
        <v>336</v>
      </c>
      <c r="D26" s="6" t="s">
        <v>337</v>
      </c>
      <c r="E26" s="6" t="s">
        <v>353</v>
      </c>
      <c r="F26" s="18"/>
      <c r="G26" s="18" t="n">
        <v>1166.78</v>
      </c>
      <c r="H26" s="6" t="s">
        <v>334</v>
      </c>
      <c r="I26" s="6" t="s">
        <v>222</v>
      </c>
      <c r="J26" s="6" t="s">
        <v>354</v>
      </c>
      <c r="K26" s="18" t="n">
        <f aca="false">F26-G26</f>
        <v>-1166.78</v>
      </c>
      <c r="L26" s="6" t="str">
        <f aca="false">INDEX('Plan de cuentas'!$C$5:$C$55,MATCH(C26,'Plan de cuentas'!$A$5:$A$55,0))</f>
        <v>PCV1</v>
      </c>
      <c r="M26" s="6" t="str">
        <f aca="false">INDEX('Plan de cuentas'!$D$5:$D$55,MATCH(C26,'Plan de cuentas'!$A$5:$A$55,0))</f>
        <v>-</v>
      </c>
    </row>
    <row r="27" customFormat="false" ht="15" hidden="false" customHeight="false" outlineLevel="0" collapsed="false">
      <c r="A27" s="6" t="n">
        <v>11</v>
      </c>
      <c r="B27" s="29" t="n">
        <v>46085</v>
      </c>
      <c r="C27" s="34" t="s">
        <v>329</v>
      </c>
      <c r="D27" s="6" t="s">
        <v>330</v>
      </c>
      <c r="E27" s="6" t="s">
        <v>358</v>
      </c>
      <c r="F27" s="18" t="n">
        <v>5800</v>
      </c>
      <c r="G27" s="18"/>
      <c r="H27" s="6" t="s">
        <v>346</v>
      </c>
      <c r="I27" s="6" t="s">
        <v>225</v>
      </c>
      <c r="J27" s="6" t="s">
        <v>359</v>
      </c>
      <c r="K27" s="18" t="n">
        <f aca="false">F27-G27</f>
        <v>5800</v>
      </c>
      <c r="L27" s="6" t="str">
        <f aca="false">INDEX('Plan de cuentas'!$C$5:$C$55,MATCH(C27,'Plan de cuentas'!$A$5:$A$55,0))</f>
        <v>AII1</v>
      </c>
      <c r="M27" s="6" t="str">
        <f aca="false">INDEX('Plan de cuentas'!$D$5:$D$55,MATCH(C27,'Plan de cuentas'!$A$5:$A$55,0))</f>
        <v>-</v>
      </c>
    </row>
    <row r="28" customFormat="false" ht="15" hidden="false" customHeight="false" outlineLevel="0" collapsed="false">
      <c r="A28" s="6" t="n">
        <v>11</v>
      </c>
      <c r="B28" s="29" t="n">
        <v>46085</v>
      </c>
      <c r="C28" s="34" t="s">
        <v>348</v>
      </c>
      <c r="D28" s="6" t="s">
        <v>267</v>
      </c>
      <c r="E28" s="6" t="s">
        <v>358</v>
      </c>
      <c r="F28" s="18"/>
      <c r="G28" s="18" t="n">
        <v>5800</v>
      </c>
      <c r="H28" s="6" t="s">
        <v>346</v>
      </c>
      <c r="I28" s="6" t="s">
        <v>225</v>
      </c>
      <c r="J28" s="6" t="s">
        <v>359</v>
      </c>
      <c r="K28" s="18" t="n">
        <f aca="false">F28-G28</f>
        <v>-5800</v>
      </c>
      <c r="L28" s="6" t="str">
        <f aca="false">INDEX('Plan de cuentas'!$C$5:$C$55,MATCH(C28,'Plan de cuentas'!$A$5:$A$55,0))</f>
        <v>D555</v>
      </c>
      <c r="M28" s="6" t="str">
        <f aca="false">INDEX('Plan de cuentas'!$D$5:$D$55,MATCH(C28,'Plan de cuentas'!$A$5:$A$55,0))</f>
        <v>-</v>
      </c>
    </row>
    <row r="29" customFormat="false" ht="15" hidden="false" customHeight="false" outlineLevel="0" collapsed="false">
      <c r="A29" s="6" t="n">
        <v>12</v>
      </c>
      <c r="B29" s="29" t="n">
        <v>46085</v>
      </c>
      <c r="C29" s="34" t="s">
        <v>336</v>
      </c>
      <c r="D29" s="6" t="s">
        <v>337</v>
      </c>
      <c r="E29" s="6" t="s">
        <v>360</v>
      </c>
      <c r="F29" s="18" t="n">
        <v>1166.78</v>
      </c>
      <c r="G29" s="18"/>
      <c r="H29" s="6" t="s">
        <v>361</v>
      </c>
      <c r="I29" s="6" t="s">
        <v>222</v>
      </c>
      <c r="J29" s="6" t="s">
        <v>354</v>
      </c>
      <c r="K29" s="18" t="n">
        <f aca="false">F29-G29</f>
        <v>1166.78</v>
      </c>
      <c r="L29" s="6" t="str">
        <f aca="false">INDEX('Plan de cuentas'!$C$5:$C$55,MATCH(C29,'Plan de cuentas'!$A$5:$A$55,0))</f>
        <v>PCV1</v>
      </c>
      <c r="M29" s="6" t="str">
        <f aca="false">INDEX('Plan de cuentas'!$D$5:$D$55,MATCH(C29,'Plan de cuentas'!$A$5:$A$55,0))</f>
        <v>-</v>
      </c>
    </row>
    <row r="30" customFormat="false" ht="15" hidden="false" customHeight="false" outlineLevel="0" collapsed="false">
      <c r="A30" s="6" t="n">
        <v>12</v>
      </c>
      <c r="B30" s="29" t="n">
        <v>46085</v>
      </c>
      <c r="C30" s="34" t="s">
        <v>308</v>
      </c>
      <c r="D30" s="6" t="s">
        <v>309</v>
      </c>
      <c r="E30" s="6" t="s">
        <v>360</v>
      </c>
      <c r="F30" s="18"/>
      <c r="G30" s="18" t="n">
        <v>1166.78</v>
      </c>
      <c r="H30" s="6" t="s">
        <v>361</v>
      </c>
      <c r="I30" s="6" t="s">
        <v>222</v>
      </c>
      <c r="J30" s="6" t="s">
        <v>354</v>
      </c>
      <c r="K30" s="18" t="n">
        <f aca="false">F30-G30</f>
        <v>-1166.78</v>
      </c>
      <c r="L30" s="6" t="str">
        <f aca="false">INDEX('Plan de cuentas'!$C$5:$C$55,MATCH(C30,'Plan de cuentas'!$A$5:$A$55,0))</f>
        <v>BVII</v>
      </c>
      <c r="M30" s="6" t="str">
        <f aca="false">INDEX('Plan de cuentas'!$D$5:$D$55,MATCH(C30,'Plan de cuentas'!$A$5:$A$55,0))</f>
        <v>-</v>
      </c>
    </row>
    <row r="31" customFormat="false" ht="15" hidden="false" customHeight="false" outlineLevel="0" collapsed="false">
      <c r="A31" s="6" t="n">
        <v>13</v>
      </c>
      <c r="B31" s="29" t="n">
        <v>46108</v>
      </c>
      <c r="C31" s="34" t="s">
        <v>329</v>
      </c>
      <c r="D31" s="6" t="s">
        <v>330</v>
      </c>
      <c r="E31" s="6" t="s">
        <v>362</v>
      </c>
      <c r="F31" s="18" t="n">
        <v>54</v>
      </c>
      <c r="G31" s="18"/>
      <c r="H31" s="6" t="s">
        <v>334</v>
      </c>
      <c r="I31" s="6" t="s">
        <v>225</v>
      </c>
      <c r="J31" s="6" t="s">
        <v>363</v>
      </c>
      <c r="K31" s="18" t="n">
        <f aca="false">F31-G31</f>
        <v>54</v>
      </c>
      <c r="L31" s="6" t="str">
        <f aca="false">INDEX('Plan de cuentas'!$C$5:$C$55,MATCH(C31,'Plan de cuentas'!$A$5:$A$55,0))</f>
        <v>AII1</v>
      </c>
      <c r="M31" s="6" t="str">
        <f aca="false">INDEX('Plan de cuentas'!$D$5:$D$55,MATCH(C31,'Plan de cuentas'!$A$5:$A$55,0))</f>
        <v>-</v>
      </c>
    </row>
    <row r="32" customFormat="false" ht="15" hidden="false" customHeight="false" outlineLevel="0" collapsed="false">
      <c r="A32" s="6" t="n">
        <v>13</v>
      </c>
      <c r="B32" s="29" t="n">
        <v>46108</v>
      </c>
      <c r="C32" s="34" t="s">
        <v>355</v>
      </c>
      <c r="D32" s="6" t="s">
        <v>356</v>
      </c>
      <c r="E32" s="6" t="s">
        <v>364</v>
      </c>
      <c r="F32" s="18" t="n">
        <v>11.34</v>
      </c>
      <c r="G32" s="18"/>
      <c r="H32" s="6" t="s">
        <v>334</v>
      </c>
      <c r="I32" s="6" t="s">
        <v>225</v>
      </c>
      <c r="J32" s="6" t="s">
        <v>363</v>
      </c>
      <c r="K32" s="18" t="n">
        <f aca="false">F32-G32</f>
        <v>11.34</v>
      </c>
      <c r="L32" s="6" t="str">
        <f aca="false">INDEX('Plan de cuentas'!$C$5:$C$55,MATCH(C32,'Plan de cuentas'!$A$5:$A$55,0))</f>
        <v>BIII2</v>
      </c>
      <c r="M32" s="6" t="str">
        <f aca="false">INDEX('Plan de cuentas'!$D$5:$D$55,MATCH(C32,'Plan de cuentas'!$A$5:$A$55,0))</f>
        <v>-</v>
      </c>
    </row>
    <row r="33" customFormat="false" ht="15" hidden="false" customHeight="false" outlineLevel="0" collapsed="false">
      <c r="A33" s="6" t="n">
        <v>13</v>
      </c>
      <c r="B33" s="29" t="n">
        <v>46108</v>
      </c>
      <c r="C33" s="34" t="s">
        <v>329</v>
      </c>
      <c r="D33" s="6" t="s">
        <v>330</v>
      </c>
      <c r="E33" s="6" t="s">
        <v>365</v>
      </c>
      <c r="F33" s="18" t="n">
        <v>302.7</v>
      </c>
      <c r="G33" s="18"/>
      <c r="H33" s="6" t="s">
        <v>334</v>
      </c>
      <c r="I33" s="6" t="s">
        <v>225</v>
      </c>
      <c r="J33" s="6" t="s">
        <v>363</v>
      </c>
      <c r="K33" s="18" t="n">
        <f aca="false">F33-G33</f>
        <v>302.7</v>
      </c>
      <c r="L33" s="6" t="str">
        <f aca="false">INDEX('Plan de cuentas'!$C$5:$C$55,MATCH(C33,'Plan de cuentas'!$A$5:$A$55,0))</f>
        <v>AII1</v>
      </c>
      <c r="M33" s="6" t="str">
        <f aca="false">INDEX('Plan de cuentas'!$D$5:$D$55,MATCH(C33,'Plan de cuentas'!$A$5:$A$55,0))</f>
        <v>-</v>
      </c>
    </row>
    <row r="34" customFormat="false" ht="15" hidden="false" customHeight="false" outlineLevel="0" collapsed="false">
      <c r="A34" s="6" t="n">
        <v>13</v>
      </c>
      <c r="B34" s="29" t="n">
        <v>46108</v>
      </c>
      <c r="C34" s="34" t="s">
        <v>336</v>
      </c>
      <c r="D34" s="6" t="s">
        <v>337</v>
      </c>
      <c r="E34" s="6" t="s">
        <v>362</v>
      </c>
      <c r="F34" s="18"/>
      <c r="G34" s="18" t="n">
        <v>368.04</v>
      </c>
      <c r="H34" s="6" t="s">
        <v>334</v>
      </c>
      <c r="I34" s="6" t="s">
        <v>225</v>
      </c>
      <c r="J34" s="6" t="s">
        <v>363</v>
      </c>
      <c r="K34" s="18" t="n">
        <f aca="false">F34-G34</f>
        <v>-368.04</v>
      </c>
      <c r="L34" s="6" t="str">
        <f aca="false">INDEX('Plan de cuentas'!$C$5:$C$55,MATCH(C34,'Plan de cuentas'!$A$5:$A$55,0))</f>
        <v>PCV1</v>
      </c>
      <c r="M34" s="6" t="str">
        <f aca="false">INDEX('Plan de cuentas'!$D$5:$D$55,MATCH(C34,'Plan de cuentas'!$A$5:$A$55,0))</f>
        <v>-</v>
      </c>
    </row>
    <row r="35" customFormat="false" ht="15" hidden="false" customHeight="false" outlineLevel="0" collapsed="false">
      <c r="A35" s="6" t="n">
        <v>14</v>
      </c>
      <c r="B35" s="29" t="n">
        <v>46108</v>
      </c>
      <c r="C35" s="34" t="s">
        <v>329</v>
      </c>
      <c r="D35" s="6" t="s">
        <v>330</v>
      </c>
      <c r="E35" s="6" t="s">
        <v>366</v>
      </c>
      <c r="F35" s="18" t="n">
        <v>54</v>
      </c>
      <c r="G35" s="18"/>
      <c r="H35" s="6" t="s">
        <v>334</v>
      </c>
      <c r="I35" s="6" t="s">
        <v>217</v>
      </c>
      <c r="J35" s="6" t="s">
        <v>367</v>
      </c>
      <c r="K35" s="18" t="n">
        <f aca="false">F35-G35</f>
        <v>54</v>
      </c>
      <c r="L35" s="6" t="str">
        <f aca="false">INDEX('Plan de cuentas'!$C$5:$C$55,MATCH(C35,'Plan de cuentas'!$A$5:$A$55,0))</f>
        <v>AII1</v>
      </c>
      <c r="M35" s="6" t="str">
        <f aca="false">INDEX('Plan de cuentas'!$D$5:$D$55,MATCH(C35,'Plan de cuentas'!$A$5:$A$55,0))</f>
        <v>-</v>
      </c>
    </row>
    <row r="36" customFormat="false" ht="15" hidden="false" customHeight="false" outlineLevel="0" collapsed="false">
      <c r="A36" s="6" t="n">
        <v>14</v>
      </c>
      <c r="B36" s="29" t="n">
        <v>46108</v>
      </c>
      <c r="C36" s="34" t="s">
        <v>355</v>
      </c>
      <c r="D36" s="6" t="s">
        <v>356</v>
      </c>
      <c r="E36" s="6" t="s">
        <v>368</v>
      </c>
      <c r="F36" s="18" t="n">
        <v>11.34</v>
      </c>
      <c r="G36" s="18"/>
      <c r="H36" s="6" t="s">
        <v>334</v>
      </c>
      <c r="I36" s="6" t="s">
        <v>217</v>
      </c>
      <c r="J36" s="6" t="s">
        <v>367</v>
      </c>
      <c r="K36" s="18" t="n">
        <f aca="false">F36-G36</f>
        <v>11.34</v>
      </c>
      <c r="L36" s="6" t="str">
        <f aca="false">INDEX('Plan de cuentas'!$C$5:$C$55,MATCH(C36,'Plan de cuentas'!$A$5:$A$55,0))</f>
        <v>BIII2</v>
      </c>
      <c r="M36" s="6" t="str">
        <f aca="false">INDEX('Plan de cuentas'!$D$5:$D$55,MATCH(C36,'Plan de cuentas'!$A$5:$A$55,0))</f>
        <v>-</v>
      </c>
    </row>
    <row r="37" customFormat="false" ht="15" hidden="false" customHeight="false" outlineLevel="0" collapsed="false">
      <c r="A37" s="6" t="n">
        <v>14</v>
      </c>
      <c r="B37" s="29" t="n">
        <v>46108</v>
      </c>
      <c r="C37" s="34" t="s">
        <v>329</v>
      </c>
      <c r="D37" s="6" t="s">
        <v>330</v>
      </c>
      <c r="E37" s="6" t="s">
        <v>369</v>
      </c>
      <c r="F37" s="18" t="n">
        <v>65.7</v>
      </c>
      <c r="G37" s="18"/>
      <c r="H37" s="6" t="s">
        <v>334</v>
      </c>
      <c r="I37" s="6" t="s">
        <v>217</v>
      </c>
      <c r="J37" s="6" t="s">
        <v>367</v>
      </c>
      <c r="K37" s="18" t="n">
        <f aca="false">F37-G37</f>
        <v>65.7</v>
      </c>
      <c r="L37" s="6" t="str">
        <f aca="false">INDEX('Plan de cuentas'!$C$5:$C$55,MATCH(C37,'Plan de cuentas'!$A$5:$A$55,0))</f>
        <v>AII1</v>
      </c>
      <c r="M37" s="6" t="str">
        <f aca="false">INDEX('Plan de cuentas'!$D$5:$D$55,MATCH(C37,'Plan de cuentas'!$A$5:$A$55,0))</f>
        <v>-</v>
      </c>
    </row>
    <row r="38" customFormat="false" ht="15" hidden="false" customHeight="false" outlineLevel="0" collapsed="false">
      <c r="A38" s="6" t="n">
        <v>14</v>
      </c>
      <c r="B38" s="29" t="n">
        <v>46108</v>
      </c>
      <c r="C38" s="34" t="s">
        <v>336</v>
      </c>
      <c r="D38" s="6" t="s">
        <v>337</v>
      </c>
      <c r="E38" s="6" t="s">
        <v>366</v>
      </c>
      <c r="F38" s="18"/>
      <c r="G38" s="18" t="n">
        <v>131.04</v>
      </c>
      <c r="H38" s="6" t="s">
        <v>334</v>
      </c>
      <c r="I38" s="6" t="s">
        <v>217</v>
      </c>
      <c r="J38" s="6" t="s">
        <v>367</v>
      </c>
      <c r="K38" s="18" t="n">
        <f aca="false">F38-G38</f>
        <v>-131.04</v>
      </c>
      <c r="L38" s="6" t="str">
        <f aca="false">INDEX('Plan de cuentas'!$C$5:$C$55,MATCH(C38,'Plan de cuentas'!$A$5:$A$55,0))</f>
        <v>PCV1</v>
      </c>
      <c r="M38" s="6" t="str">
        <f aca="false">INDEX('Plan de cuentas'!$D$5:$D$55,MATCH(C38,'Plan de cuentas'!$A$5:$A$55,0))</f>
        <v>-</v>
      </c>
    </row>
    <row r="39" customFormat="false" ht="15" hidden="false" customHeight="false" outlineLevel="0" collapsed="false">
      <c r="A39" s="6" t="n">
        <v>15</v>
      </c>
      <c r="B39" s="29" t="n">
        <v>46108</v>
      </c>
      <c r="C39" s="34" t="s">
        <v>329</v>
      </c>
      <c r="D39" s="6" t="s">
        <v>330</v>
      </c>
      <c r="E39" s="6" t="s">
        <v>370</v>
      </c>
      <c r="F39" s="18" t="n">
        <v>54</v>
      </c>
      <c r="G39" s="18"/>
      <c r="H39" s="6" t="s">
        <v>334</v>
      </c>
      <c r="I39" s="6" t="s">
        <v>217</v>
      </c>
      <c r="J39" s="6" t="s">
        <v>371</v>
      </c>
      <c r="K39" s="18" t="n">
        <f aca="false">F39-G39</f>
        <v>54</v>
      </c>
      <c r="L39" s="6" t="str">
        <f aca="false">INDEX('Plan de cuentas'!$C$5:$C$55,MATCH(C39,'Plan de cuentas'!$A$5:$A$55,0))</f>
        <v>AII1</v>
      </c>
      <c r="M39" s="6" t="str">
        <f aca="false">INDEX('Plan de cuentas'!$D$5:$D$55,MATCH(C39,'Plan de cuentas'!$A$5:$A$55,0))</f>
        <v>-</v>
      </c>
    </row>
    <row r="40" customFormat="false" ht="15" hidden="false" customHeight="false" outlineLevel="0" collapsed="false">
      <c r="A40" s="6" t="n">
        <v>15</v>
      </c>
      <c r="B40" s="29" t="n">
        <v>46108</v>
      </c>
      <c r="C40" s="34" t="s">
        <v>355</v>
      </c>
      <c r="D40" s="6" t="s">
        <v>356</v>
      </c>
      <c r="E40" s="6" t="s">
        <v>372</v>
      </c>
      <c r="F40" s="18" t="n">
        <v>11.34</v>
      </c>
      <c r="G40" s="18"/>
      <c r="H40" s="6" t="s">
        <v>334</v>
      </c>
      <c r="I40" s="6" t="s">
        <v>217</v>
      </c>
      <c r="J40" s="6" t="s">
        <v>371</v>
      </c>
      <c r="K40" s="18" t="n">
        <f aca="false">F40-G40</f>
        <v>11.34</v>
      </c>
      <c r="L40" s="6" t="str">
        <f aca="false">INDEX('Plan de cuentas'!$C$5:$C$55,MATCH(C40,'Plan de cuentas'!$A$5:$A$55,0))</f>
        <v>BIII2</v>
      </c>
      <c r="M40" s="6" t="str">
        <f aca="false">INDEX('Plan de cuentas'!$D$5:$D$55,MATCH(C40,'Plan de cuentas'!$A$5:$A$55,0))</f>
        <v>-</v>
      </c>
    </row>
    <row r="41" customFormat="false" ht="15" hidden="false" customHeight="false" outlineLevel="0" collapsed="false">
      <c r="A41" s="6" t="n">
        <v>15</v>
      </c>
      <c r="B41" s="29" t="n">
        <v>46108</v>
      </c>
      <c r="C41" s="34" t="s">
        <v>329</v>
      </c>
      <c r="D41" s="6" t="s">
        <v>330</v>
      </c>
      <c r="E41" s="6" t="s">
        <v>373</v>
      </c>
      <c r="F41" s="18" t="n">
        <v>223.34</v>
      </c>
      <c r="G41" s="18"/>
      <c r="H41" s="6" t="s">
        <v>334</v>
      </c>
      <c r="I41" s="6" t="s">
        <v>217</v>
      </c>
      <c r="J41" s="6" t="s">
        <v>371</v>
      </c>
      <c r="K41" s="18" t="n">
        <f aca="false">F41-G41</f>
        <v>223.34</v>
      </c>
      <c r="L41" s="6" t="str">
        <f aca="false">INDEX('Plan de cuentas'!$C$5:$C$55,MATCH(C41,'Plan de cuentas'!$A$5:$A$55,0))</f>
        <v>AII1</v>
      </c>
      <c r="M41" s="6" t="str">
        <f aca="false">INDEX('Plan de cuentas'!$D$5:$D$55,MATCH(C41,'Plan de cuentas'!$A$5:$A$55,0))</f>
        <v>-</v>
      </c>
    </row>
    <row r="42" customFormat="false" ht="15" hidden="false" customHeight="false" outlineLevel="0" collapsed="false">
      <c r="A42" s="6" t="n">
        <v>15</v>
      </c>
      <c r="B42" s="29" t="n">
        <v>46108</v>
      </c>
      <c r="C42" s="34" t="s">
        <v>336</v>
      </c>
      <c r="D42" s="6" t="s">
        <v>337</v>
      </c>
      <c r="E42" s="6" t="s">
        <v>370</v>
      </c>
      <c r="F42" s="18"/>
      <c r="G42" s="18" t="n">
        <v>288.68</v>
      </c>
      <c r="H42" s="6" t="s">
        <v>334</v>
      </c>
      <c r="I42" s="6" t="s">
        <v>217</v>
      </c>
      <c r="J42" s="6" t="s">
        <v>371</v>
      </c>
      <c r="K42" s="18" t="n">
        <f aca="false">F42-G42</f>
        <v>-288.68</v>
      </c>
      <c r="L42" s="6" t="str">
        <f aca="false">INDEX('Plan de cuentas'!$C$5:$C$55,MATCH(C42,'Plan de cuentas'!$A$5:$A$55,0))</f>
        <v>PCV1</v>
      </c>
      <c r="M42" s="6" t="str">
        <f aca="false">INDEX('Plan de cuentas'!$D$5:$D$55,MATCH(C42,'Plan de cuentas'!$A$5:$A$55,0))</f>
        <v>-</v>
      </c>
    </row>
    <row r="43" customFormat="false" ht="15" hidden="false" customHeight="false" outlineLevel="0" collapsed="false">
      <c r="A43" s="6" t="n">
        <v>16</v>
      </c>
      <c r="B43" s="29" t="n">
        <v>46108</v>
      </c>
      <c r="C43" s="34" t="s">
        <v>336</v>
      </c>
      <c r="D43" s="6" t="s">
        <v>337</v>
      </c>
      <c r="E43" s="6" t="s">
        <v>374</v>
      </c>
      <c r="F43" s="18" t="n">
        <v>368.04</v>
      </c>
      <c r="G43" s="18"/>
      <c r="H43" s="6" t="s">
        <v>361</v>
      </c>
      <c r="I43" s="6" t="s">
        <v>225</v>
      </c>
      <c r="J43" s="6" t="s">
        <v>363</v>
      </c>
      <c r="K43" s="18" t="n">
        <f aca="false">F43-G43</f>
        <v>368.04</v>
      </c>
      <c r="L43" s="6" t="str">
        <f aca="false">INDEX('Plan de cuentas'!$C$5:$C$55,MATCH(C43,'Plan de cuentas'!$A$5:$A$55,0))</f>
        <v>PCV1</v>
      </c>
      <c r="M43" s="6" t="str">
        <f aca="false">INDEX('Plan de cuentas'!$D$5:$D$55,MATCH(C43,'Plan de cuentas'!$A$5:$A$55,0))</f>
        <v>-</v>
      </c>
    </row>
    <row r="44" customFormat="false" ht="15" hidden="false" customHeight="false" outlineLevel="0" collapsed="false">
      <c r="A44" s="6" t="n">
        <v>16</v>
      </c>
      <c r="B44" s="29" t="n">
        <v>46108</v>
      </c>
      <c r="C44" s="34" t="s">
        <v>308</v>
      </c>
      <c r="D44" s="6" t="s">
        <v>309</v>
      </c>
      <c r="E44" s="6" t="s">
        <v>374</v>
      </c>
      <c r="F44" s="18"/>
      <c r="G44" s="18" t="n">
        <v>368.04</v>
      </c>
      <c r="H44" s="6" t="s">
        <v>361</v>
      </c>
      <c r="I44" s="6" t="s">
        <v>225</v>
      </c>
      <c r="J44" s="6" t="s">
        <v>363</v>
      </c>
      <c r="K44" s="18" t="n">
        <f aca="false">F44-G44</f>
        <v>-368.04</v>
      </c>
      <c r="L44" s="6" t="str">
        <f aca="false">INDEX('Plan de cuentas'!$C$5:$C$55,MATCH(C44,'Plan de cuentas'!$A$5:$A$55,0))</f>
        <v>BVII</v>
      </c>
      <c r="M44" s="6" t="str">
        <f aca="false">INDEX('Plan de cuentas'!$D$5:$D$55,MATCH(C44,'Plan de cuentas'!$A$5:$A$55,0))</f>
        <v>-</v>
      </c>
    </row>
    <row r="45" customFormat="false" ht="15" hidden="false" customHeight="false" outlineLevel="0" collapsed="false">
      <c r="A45" s="6" t="n">
        <v>17</v>
      </c>
      <c r="B45" s="29" t="n">
        <v>46108</v>
      </c>
      <c r="C45" s="34" t="s">
        <v>336</v>
      </c>
      <c r="D45" s="6" t="s">
        <v>337</v>
      </c>
      <c r="E45" s="6" t="s">
        <v>375</v>
      </c>
      <c r="F45" s="18" t="n">
        <v>131.04</v>
      </c>
      <c r="G45" s="18"/>
      <c r="H45" s="6" t="s">
        <v>361</v>
      </c>
      <c r="I45" s="6" t="s">
        <v>217</v>
      </c>
      <c r="J45" s="6" t="s">
        <v>367</v>
      </c>
      <c r="K45" s="18" t="n">
        <f aca="false">F45-G45</f>
        <v>131.04</v>
      </c>
      <c r="L45" s="6" t="str">
        <f aca="false">INDEX('Plan de cuentas'!$C$5:$C$55,MATCH(C45,'Plan de cuentas'!$A$5:$A$55,0))</f>
        <v>PCV1</v>
      </c>
      <c r="M45" s="6" t="str">
        <f aca="false">INDEX('Plan de cuentas'!$D$5:$D$55,MATCH(C45,'Plan de cuentas'!$A$5:$A$55,0))</f>
        <v>-</v>
      </c>
    </row>
    <row r="46" customFormat="false" ht="15" hidden="false" customHeight="false" outlineLevel="0" collapsed="false">
      <c r="A46" s="6" t="n">
        <v>17</v>
      </c>
      <c r="B46" s="29" t="n">
        <v>46108</v>
      </c>
      <c r="C46" s="34" t="s">
        <v>308</v>
      </c>
      <c r="D46" s="6" t="s">
        <v>309</v>
      </c>
      <c r="E46" s="6" t="s">
        <v>375</v>
      </c>
      <c r="F46" s="18"/>
      <c r="G46" s="18" t="n">
        <v>131.04</v>
      </c>
      <c r="H46" s="6" t="s">
        <v>361</v>
      </c>
      <c r="I46" s="6" t="s">
        <v>217</v>
      </c>
      <c r="J46" s="6" t="s">
        <v>367</v>
      </c>
      <c r="K46" s="18" t="n">
        <f aca="false">F46-G46</f>
        <v>-131.04</v>
      </c>
      <c r="L46" s="6" t="str">
        <f aca="false">INDEX('Plan de cuentas'!$C$5:$C$55,MATCH(C46,'Plan de cuentas'!$A$5:$A$55,0))</f>
        <v>BVII</v>
      </c>
      <c r="M46" s="6" t="str">
        <f aca="false">INDEX('Plan de cuentas'!$D$5:$D$55,MATCH(C46,'Plan de cuentas'!$A$5:$A$55,0))</f>
        <v>-</v>
      </c>
    </row>
    <row r="47" customFormat="false" ht="15" hidden="false" customHeight="false" outlineLevel="0" collapsed="false">
      <c r="A47" s="6" t="n">
        <v>18</v>
      </c>
      <c r="B47" s="29" t="n">
        <v>46108</v>
      </c>
      <c r="C47" s="34" t="s">
        <v>336</v>
      </c>
      <c r="D47" s="6" t="s">
        <v>337</v>
      </c>
      <c r="E47" s="6" t="s">
        <v>376</v>
      </c>
      <c r="F47" s="18" t="n">
        <v>288.68</v>
      </c>
      <c r="G47" s="18"/>
      <c r="H47" s="6" t="s">
        <v>361</v>
      </c>
      <c r="I47" s="6" t="s">
        <v>217</v>
      </c>
      <c r="J47" s="6" t="s">
        <v>371</v>
      </c>
      <c r="K47" s="18" t="n">
        <f aca="false">F47-G47</f>
        <v>288.68</v>
      </c>
      <c r="L47" s="6" t="str">
        <f aca="false">INDEX('Plan de cuentas'!$C$5:$C$55,MATCH(C47,'Plan de cuentas'!$A$5:$A$55,0))</f>
        <v>PCV1</v>
      </c>
      <c r="M47" s="6" t="str">
        <f aca="false">INDEX('Plan de cuentas'!$D$5:$D$55,MATCH(C47,'Plan de cuentas'!$A$5:$A$55,0))</f>
        <v>-</v>
      </c>
    </row>
    <row r="48" customFormat="false" ht="15" hidden="false" customHeight="false" outlineLevel="0" collapsed="false">
      <c r="A48" s="6" t="n">
        <v>18</v>
      </c>
      <c r="B48" s="29" t="n">
        <v>46108</v>
      </c>
      <c r="C48" s="34" t="s">
        <v>308</v>
      </c>
      <c r="D48" s="6" t="s">
        <v>309</v>
      </c>
      <c r="E48" s="6" t="s">
        <v>376</v>
      </c>
      <c r="F48" s="18"/>
      <c r="G48" s="18" t="n">
        <v>288.68</v>
      </c>
      <c r="H48" s="6" t="s">
        <v>361</v>
      </c>
      <c r="I48" s="6" t="s">
        <v>217</v>
      </c>
      <c r="J48" s="6" t="s">
        <v>371</v>
      </c>
      <c r="K48" s="18" t="n">
        <f aca="false">F48-G48</f>
        <v>-288.68</v>
      </c>
      <c r="L48" s="6" t="str">
        <f aca="false">INDEX('Plan de cuentas'!$C$5:$C$55,MATCH(C48,'Plan de cuentas'!$A$5:$A$55,0))</f>
        <v>BVII</v>
      </c>
      <c r="M48" s="6" t="str">
        <f aca="false">INDEX('Plan de cuentas'!$D$5:$D$55,MATCH(C48,'Plan de cuentas'!$A$5:$A$55,0))</f>
        <v>-</v>
      </c>
    </row>
    <row r="49" customFormat="false" ht="15" hidden="false" customHeight="false" outlineLevel="0" collapsed="false">
      <c r="A49" s="6" t="n">
        <v>19</v>
      </c>
      <c r="B49" s="29" t="n">
        <v>46112</v>
      </c>
      <c r="C49" s="34" t="s">
        <v>198</v>
      </c>
      <c r="D49" s="6" t="s">
        <v>199</v>
      </c>
      <c r="E49" s="6" t="s">
        <v>377</v>
      </c>
      <c r="F49" s="18" t="n">
        <v>57.03</v>
      </c>
      <c r="G49" s="18"/>
      <c r="H49" s="6" t="s">
        <v>341</v>
      </c>
      <c r="I49" s="6" t="s">
        <v>217</v>
      </c>
      <c r="J49" s="6" t="s">
        <v>378</v>
      </c>
      <c r="K49" s="18" t="n">
        <f aca="false">F49-G49</f>
        <v>57.03</v>
      </c>
      <c r="L49" s="6" t="str">
        <f aca="false">INDEX('Plan de cuentas'!$C$5:$C$55,MATCH(C49,'Plan de cuentas'!$A$5:$A$55,0))</f>
        <v>PAVII</v>
      </c>
      <c r="M49" s="6" t="str">
        <f aca="false">INDEX('Plan de cuentas'!$D$5:$D$55,MATCH(C49,'Plan de cuentas'!$A$5:$A$55,0))</f>
        <v>P8</v>
      </c>
    </row>
    <row r="50" customFormat="false" ht="15" hidden="false" customHeight="false" outlineLevel="0" collapsed="false">
      <c r="A50" s="6" t="n">
        <v>19</v>
      </c>
      <c r="B50" s="29" t="n">
        <v>46112</v>
      </c>
      <c r="C50" s="34" t="s">
        <v>343</v>
      </c>
      <c r="D50" s="6" t="s">
        <v>344</v>
      </c>
      <c r="E50" s="6" t="s">
        <v>377</v>
      </c>
      <c r="F50" s="18"/>
      <c r="G50" s="18" t="n">
        <v>57.03</v>
      </c>
      <c r="H50" s="6" t="s">
        <v>341</v>
      </c>
      <c r="I50" s="6" t="s">
        <v>217</v>
      </c>
      <c r="J50" s="6" t="s">
        <v>378</v>
      </c>
      <c r="K50" s="18" t="n">
        <f aca="false">F50-G50</f>
        <v>-57.03</v>
      </c>
      <c r="L50" s="6" t="str">
        <f aca="false">INDEX('Plan de cuentas'!$C$5:$C$55,MATCH(C50,'Plan de cuentas'!$A$5:$A$55,0))</f>
        <v>AII3</v>
      </c>
      <c r="M50" s="6" t="str">
        <f aca="false">INDEX('Plan de cuentas'!$D$5:$D$55,MATCH(C50,'Plan de cuentas'!$A$5:$A$55,0))</f>
        <v>-</v>
      </c>
    </row>
    <row r="51" customFormat="false" ht="15" hidden="false" customHeight="false" outlineLevel="0" collapsed="false">
      <c r="A51" s="6" t="n">
        <v>20</v>
      </c>
      <c r="B51" s="29" t="n">
        <v>46112</v>
      </c>
      <c r="C51" s="34" t="s">
        <v>198</v>
      </c>
      <c r="D51" s="6" t="s">
        <v>199</v>
      </c>
      <c r="E51" s="6" t="s">
        <v>340</v>
      </c>
      <c r="F51" s="18" t="n">
        <v>124.91</v>
      </c>
      <c r="G51" s="18"/>
      <c r="H51" s="6" t="s">
        <v>341</v>
      </c>
      <c r="I51" s="6" t="s">
        <v>222</v>
      </c>
      <c r="J51" s="6" t="s">
        <v>379</v>
      </c>
      <c r="K51" s="18" t="n">
        <f aca="false">F51-G51</f>
        <v>124.91</v>
      </c>
      <c r="L51" s="6" t="str">
        <f aca="false">INDEX('Plan de cuentas'!$C$5:$C$55,MATCH(C51,'Plan de cuentas'!$A$5:$A$55,0))</f>
        <v>PAVII</v>
      </c>
      <c r="M51" s="6" t="str">
        <f aca="false">INDEX('Plan de cuentas'!$D$5:$D$55,MATCH(C51,'Plan de cuentas'!$A$5:$A$55,0))</f>
        <v>P8</v>
      </c>
    </row>
    <row r="52" customFormat="false" ht="15" hidden="false" customHeight="false" outlineLevel="0" collapsed="false">
      <c r="A52" s="6" t="n">
        <v>20</v>
      </c>
      <c r="B52" s="29" t="n">
        <v>46112</v>
      </c>
      <c r="C52" s="34" t="s">
        <v>343</v>
      </c>
      <c r="D52" s="6" t="s">
        <v>344</v>
      </c>
      <c r="E52" s="6" t="s">
        <v>340</v>
      </c>
      <c r="F52" s="18"/>
      <c r="G52" s="18" t="n">
        <v>124.91</v>
      </c>
      <c r="H52" s="6" t="s">
        <v>341</v>
      </c>
      <c r="I52" s="6" t="s">
        <v>222</v>
      </c>
      <c r="J52" s="6" t="s">
        <v>379</v>
      </c>
      <c r="K52" s="18" t="n">
        <f aca="false">F52-G52</f>
        <v>-124.91</v>
      </c>
      <c r="L52" s="6" t="str">
        <f aca="false">INDEX('Plan de cuentas'!$C$5:$C$55,MATCH(C52,'Plan de cuentas'!$A$5:$A$55,0))</f>
        <v>AII3</v>
      </c>
      <c r="M52" s="6" t="str">
        <f aca="false">INDEX('Plan de cuentas'!$D$5:$D$55,MATCH(C52,'Plan de cuentas'!$A$5:$A$55,0))</f>
        <v>-</v>
      </c>
    </row>
    <row r="53" customFormat="false" ht="15" hidden="false" customHeight="false" outlineLevel="0" collapsed="false">
      <c r="A53" s="6" t="n">
        <v>21</v>
      </c>
      <c r="B53" s="29" t="n">
        <v>46112</v>
      </c>
      <c r="C53" s="34" t="s">
        <v>198</v>
      </c>
      <c r="D53" s="6" t="s">
        <v>199</v>
      </c>
      <c r="E53" s="6" t="s">
        <v>380</v>
      </c>
      <c r="F53" s="18" t="n">
        <v>75.57</v>
      </c>
      <c r="G53" s="18"/>
      <c r="H53" s="6" t="s">
        <v>341</v>
      </c>
      <c r="I53" s="6" t="s">
        <v>225</v>
      </c>
      <c r="J53" s="6" t="s">
        <v>381</v>
      </c>
      <c r="K53" s="18" t="n">
        <f aca="false">F53-G53</f>
        <v>75.57</v>
      </c>
      <c r="L53" s="6" t="str">
        <f aca="false">INDEX('Plan de cuentas'!$C$5:$C$55,MATCH(C53,'Plan de cuentas'!$A$5:$A$55,0))</f>
        <v>PAVII</v>
      </c>
      <c r="M53" s="6" t="str">
        <f aca="false">INDEX('Plan de cuentas'!$D$5:$D$55,MATCH(C53,'Plan de cuentas'!$A$5:$A$55,0))</f>
        <v>P8</v>
      </c>
    </row>
    <row r="54" customFormat="false" ht="15" hidden="false" customHeight="false" outlineLevel="0" collapsed="false">
      <c r="A54" s="6" t="n">
        <v>21</v>
      </c>
      <c r="B54" s="29" t="n">
        <v>46112</v>
      </c>
      <c r="C54" s="34" t="s">
        <v>343</v>
      </c>
      <c r="D54" s="6" t="s">
        <v>344</v>
      </c>
      <c r="E54" s="6" t="s">
        <v>380</v>
      </c>
      <c r="F54" s="18"/>
      <c r="G54" s="18" t="n">
        <v>75.57</v>
      </c>
      <c r="H54" s="6" t="s">
        <v>341</v>
      </c>
      <c r="I54" s="6" t="s">
        <v>225</v>
      </c>
      <c r="J54" s="6" t="s">
        <v>381</v>
      </c>
      <c r="K54" s="18" t="n">
        <f aca="false">F54-G54</f>
        <v>-75.57</v>
      </c>
      <c r="L54" s="6" t="str">
        <f aca="false">INDEX('Plan de cuentas'!$C$5:$C$55,MATCH(C54,'Plan de cuentas'!$A$5:$A$55,0))</f>
        <v>AII3</v>
      </c>
      <c r="M54" s="6" t="str">
        <f aca="false">INDEX('Plan de cuentas'!$D$5:$D$55,MATCH(C54,'Plan de cuentas'!$A$5:$A$55,0))</f>
        <v>-</v>
      </c>
    </row>
    <row r="55" customFormat="false" ht="15" hidden="false" customHeight="false" outlineLevel="0" collapsed="false">
      <c r="A55" s="6" t="n">
        <v>22</v>
      </c>
      <c r="B55" s="29" t="n">
        <v>46112</v>
      </c>
      <c r="C55" s="34" t="s">
        <v>355</v>
      </c>
      <c r="D55" s="6" t="s">
        <v>356</v>
      </c>
      <c r="E55" s="6" t="s">
        <v>382</v>
      </c>
      <c r="F55" s="18"/>
      <c r="G55" s="18" t="n">
        <v>236.54</v>
      </c>
      <c r="H55" s="6" t="s">
        <v>38</v>
      </c>
      <c r="I55" s="6"/>
      <c r="J55" s="6" t="s">
        <v>383</v>
      </c>
      <c r="K55" s="18" t="n">
        <f aca="false">F55-G55</f>
        <v>-236.54</v>
      </c>
      <c r="L55" s="6" t="str">
        <f aca="false">INDEX('Plan de cuentas'!$C$5:$C$55,MATCH(C55,'Plan de cuentas'!$A$5:$A$55,0))</f>
        <v>BIII2</v>
      </c>
      <c r="M55" s="6" t="str">
        <f aca="false">INDEX('Plan de cuentas'!$D$5:$D$55,MATCH(C55,'Plan de cuentas'!$A$5:$A$55,0))</f>
        <v>-</v>
      </c>
    </row>
    <row r="56" customFormat="false" ht="15" hidden="false" customHeight="false" outlineLevel="0" collapsed="false">
      <c r="A56" s="6" t="n">
        <v>22</v>
      </c>
      <c r="B56" s="29" t="n">
        <v>46112</v>
      </c>
      <c r="C56" s="34" t="s">
        <v>384</v>
      </c>
      <c r="D56" s="6" t="s">
        <v>385</v>
      </c>
      <c r="E56" s="6" t="s">
        <v>386</v>
      </c>
      <c r="F56" s="18" t="n">
        <v>236.54</v>
      </c>
      <c r="G56" s="18"/>
      <c r="H56" s="6" t="s">
        <v>38</v>
      </c>
      <c r="I56" s="6"/>
      <c r="J56" s="6" t="s">
        <v>383</v>
      </c>
      <c r="K56" s="18" t="n">
        <f aca="false">F56-G56</f>
        <v>236.54</v>
      </c>
      <c r="L56" s="6" t="str">
        <f aca="false">INDEX('Plan de cuentas'!$C$5:$C$55,MATCH(C56,'Plan de cuentas'!$A$5:$A$55,0))</f>
        <v>BIII2</v>
      </c>
      <c r="M56" s="6" t="str">
        <f aca="false">INDEX('Plan de cuentas'!$D$5:$D$55,MATCH(C56,'Plan de cuentas'!$A$5:$A$55,0))</f>
        <v>-</v>
      </c>
    </row>
    <row r="57" customFormat="false" ht="15" hidden="false" customHeight="false" outlineLevel="0" collapsed="false">
      <c r="A57" s="6" t="n">
        <v>23</v>
      </c>
      <c r="B57" s="29" t="n">
        <v>46118</v>
      </c>
      <c r="C57" s="34" t="s">
        <v>190</v>
      </c>
      <c r="D57" s="6" t="s">
        <v>191</v>
      </c>
      <c r="E57" s="6" t="s">
        <v>387</v>
      </c>
      <c r="F57" s="18" t="n">
        <v>34.36</v>
      </c>
      <c r="G57" s="18"/>
      <c r="H57" s="6" t="s">
        <v>334</v>
      </c>
      <c r="I57" s="6"/>
      <c r="J57" s="6" t="s">
        <v>388</v>
      </c>
      <c r="K57" s="18" t="n">
        <f aca="false">F57-G57</f>
        <v>34.36</v>
      </c>
      <c r="L57" s="6" t="str">
        <f aca="false">INDEX('Plan de cuentas'!$C$5:$C$55,MATCH(C57,'Plan de cuentas'!$A$5:$A$55,0))</f>
        <v>PAVII</v>
      </c>
      <c r="M57" s="6" t="str">
        <f aca="false">INDEX('Plan de cuentas'!$D$5:$D$55,MATCH(C57,'Plan de cuentas'!$A$5:$A$55,0))</f>
        <v>P7a</v>
      </c>
    </row>
    <row r="58" customFormat="false" ht="15" hidden="false" customHeight="false" outlineLevel="0" collapsed="false">
      <c r="A58" s="6" t="n">
        <v>23</v>
      </c>
      <c r="B58" s="29" t="n">
        <v>46118</v>
      </c>
      <c r="C58" s="34" t="s">
        <v>336</v>
      </c>
      <c r="D58" s="6" t="s">
        <v>337</v>
      </c>
      <c r="E58" s="6" t="s">
        <v>387</v>
      </c>
      <c r="F58" s="18"/>
      <c r="G58" s="18" t="n">
        <v>34.36</v>
      </c>
      <c r="H58" s="6" t="s">
        <v>334</v>
      </c>
      <c r="I58" s="6"/>
      <c r="J58" s="6" t="s">
        <v>388</v>
      </c>
      <c r="K58" s="18" t="n">
        <f aca="false">F58-G58</f>
        <v>-34.36</v>
      </c>
      <c r="L58" s="6" t="str">
        <f aca="false">INDEX('Plan de cuentas'!$C$5:$C$55,MATCH(C58,'Plan de cuentas'!$A$5:$A$55,0))</f>
        <v>PCV1</v>
      </c>
      <c r="M58" s="6" t="str">
        <f aca="false">INDEX('Plan de cuentas'!$D$5:$D$55,MATCH(C58,'Plan de cuentas'!$A$5:$A$55,0))</f>
        <v>-</v>
      </c>
    </row>
    <row r="59" customFormat="false" ht="15" hidden="false" customHeight="false" outlineLevel="0" collapsed="false">
      <c r="A59" s="6" t="n">
        <v>24</v>
      </c>
      <c r="B59" s="29" t="n">
        <v>46118</v>
      </c>
      <c r="C59" s="34" t="s">
        <v>336</v>
      </c>
      <c r="D59" s="6" t="s">
        <v>337</v>
      </c>
      <c r="E59" s="6" t="s">
        <v>389</v>
      </c>
      <c r="F59" s="18" t="n">
        <v>34.36</v>
      </c>
      <c r="G59" s="18"/>
      <c r="H59" s="6" t="s">
        <v>361</v>
      </c>
      <c r="I59" s="6"/>
      <c r="J59" s="6" t="s">
        <v>388</v>
      </c>
      <c r="K59" s="18" t="n">
        <f aca="false">F59-G59</f>
        <v>34.36</v>
      </c>
      <c r="L59" s="6" t="str">
        <f aca="false">INDEX('Plan de cuentas'!$C$5:$C$55,MATCH(C59,'Plan de cuentas'!$A$5:$A$55,0))</f>
        <v>PCV1</v>
      </c>
      <c r="M59" s="6" t="str">
        <f aca="false">INDEX('Plan de cuentas'!$D$5:$D$55,MATCH(C59,'Plan de cuentas'!$A$5:$A$55,0))</f>
        <v>-</v>
      </c>
    </row>
    <row r="60" customFormat="false" ht="15" hidden="false" customHeight="false" outlineLevel="0" collapsed="false">
      <c r="A60" s="6" t="n">
        <v>24</v>
      </c>
      <c r="B60" s="29" t="n">
        <v>46118</v>
      </c>
      <c r="C60" s="34" t="s">
        <v>308</v>
      </c>
      <c r="D60" s="6" t="s">
        <v>309</v>
      </c>
      <c r="E60" s="6" t="s">
        <v>389</v>
      </c>
      <c r="F60" s="18"/>
      <c r="G60" s="18" t="n">
        <v>34.36</v>
      </c>
      <c r="H60" s="6" t="s">
        <v>361</v>
      </c>
      <c r="I60" s="6"/>
      <c r="J60" s="6" t="s">
        <v>388</v>
      </c>
      <c r="K60" s="18" t="n">
        <f aca="false">F60-G60</f>
        <v>-34.36</v>
      </c>
      <c r="L60" s="6" t="str">
        <f aca="false">INDEX('Plan de cuentas'!$C$5:$C$55,MATCH(C60,'Plan de cuentas'!$A$5:$A$55,0))</f>
        <v>BVII</v>
      </c>
      <c r="M60" s="6" t="str">
        <f aca="false">INDEX('Plan de cuentas'!$D$5:$D$55,MATCH(C60,'Plan de cuentas'!$A$5:$A$55,0))</f>
        <v>-</v>
      </c>
    </row>
    <row r="61" customFormat="false" ht="15" hidden="false" customHeight="false" outlineLevel="0" collapsed="false">
      <c r="A61" s="6" t="n">
        <v>25</v>
      </c>
      <c r="B61" s="29" t="n">
        <v>46118</v>
      </c>
      <c r="C61" s="34" t="s">
        <v>390</v>
      </c>
      <c r="D61" s="6" t="s">
        <v>391</v>
      </c>
      <c r="E61" s="6" t="s">
        <v>392</v>
      </c>
      <c r="F61" s="18" t="n">
        <v>700</v>
      </c>
      <c r="G61" s="18"/>
      <c r="H61" s="6" t="s">
        <v>393</v>
      </c>
      <c r="I61" s="6" t="s">
        <v>222</v>
      </c>
      <c r="J61" s="6" t="s">
        <v>394</v>
      </c>
      <c r="K61" s="18" t="n">
        <f aca="false">F61-G61</f>
        <v>700</v>
      </c>
      <c r="L61" s="6" t="str">
        <f aca="false">INDEX('Plan de cuentas'!$C$5:$C$55,MATCH(C61,'Plan de cuentas'!$A$5:$A$55,0))</f>
        <v>BIII1</v>
      </c>
      <c r="M61" s="6" t="str">
        <f aca="false">INDEX('Plan de cuentas'!$D$5:$D$55,MATCH(C61,'Plan de cuentas'!$A$5:$A$55,0))</f>
        <v>-</v>
      </c>
    </row>
    <row r="62" customFormat="false" ht="15" hidden="false" customHeight="false" outlineLevel="0" collapsed="false">
      <c r="A62" s="6" t="n">
        <v>25</v>
      </c>
      <c r="B62" s="29" t="n">
        <v>46118</v>
      </c>
      <c r="C62" s="34" t="s">
        <v>200</v>
      </c>
      <c r="D62" s="6" t="s">
        <v>201</v>
      </c>
      <c r="E62" s="6" t="s">
        <v>392</v>
      </c>
      <c r="F62" s="18"/>
      <c r="G62" s="18" t="n">
        <v>578.51</v>
      </c>
      <c r="H62" s="6" t="s">
        <v>393</v>
      </c>
      <c r="I62" s="6" t="s">
        <v>222</v>
      </c>
      <c r="J62" s="6" t="s">
        <v>394</v>
      </c>
      <c r="K62" s="18" t="n">
        <f aca="false">F62-G62</f>
        <v>-578.51</v>
      </c>
      <c r="L62" s="6" t="str">
        <f aca="false">INDEX('Plan de cuentas'!$C$5:$C$55,MATCH(C62,'Plan de cuentas'!$A$5:$A$55,0))</f>
        <v>PAVII</v>
      </c>
      <c r="M62" s="6" t="str">
        <f aca="false">INDEX('Plan de cuentas'!$D$5:$D$55,MATCH(C62,'Plan de cuentas'!$A$5:$A$55,0))</f>
        <v>P1</v>
      </c>
    </row>
    <row r="63" customFormat="false" ht="15" hidden="false" customHeight="false" outlineLevel="0" collapsed="false">
      <c r="A63" s="6" t="n">
        <v>25</v>
      </c>
      <c r="B63" s="29" t="n">
        <v>46118</v>
      </c>
      <c r="C63" s="34" t="s">
        <v>395</v>
      </c>
      <c r="D63" s="6" t="s">
        <v>396</v>
      </c>
      <c r="E63" s="6" t="s">
        <v>397</v>
      </c>
      <c r="F63" s="18"/>
      <c r="G63" s="18" t="n">
        <v>121.49</v>
      </c>
      <c r="H63" s="6" t="s">
        <v>393</v>
      </c>
      <c r="I63" s="6" t="s">
        <v>222</v>
      </c>
      <c r="J63" s="6" t="s">
        <v>394</v>
      </c>
      <c r="K63" s="18" t="n">
        <f aca="false">F63-G63</f>
        <v>-121.49</v>
      </c>
      <c r="L63" s="6" t="str">
        <f aca="false">INDEX('Plan de cuentas'!$C$5:$C$55,MATCH(C63,'Plan de cuentas'!$A$5:$A$55,0))</f>
        <v>PCV2</v>
      </c>
      <c r="M63" s="6" t="str">
        <f aca="false">INDEX('Plan de cuentas'!$D$5:$D$55,MATCH(C63,'Plan de cuentas'!$A$5:$A$55,0))</f>
        <v>-</v>
      </c>
    </row>
    <row r="64" customFormat="false" ht="15" hidden="false" customHeight="false" outlineLevel="0" collapsed="false">
      <c r="A64" s="6" t="n">
        <v>26</v>
      </c>
      <c r="B64" s="29" t="n">
        <v>46122</v>
      </c>
      <c r="C64" s="34" t="s">
        <v>390</v>
      </c>
      <c r="D64" s="6" t="s">
        <v>391</v>
      </c>
      <c r="E64" s="6" t="s">
        <v>398</v>
      </c>
      <c r="F64" s="18" t="n">
        <v>37.3</v>
      </c>
      <c r="G64" s="18"/>
      <c r="H64" s="6" t="s">
        <v>393</v>
      </c>
      <c r="I64" s="6" t="s">
        <v>217</v>
      </c>
      <c r="J64" s="6" t="s">
        <v>399</v>
      </c>
      <c r="K64" s="18" t="n">
        <f aca="false">F64-G64</f>
        <v>37.3</v>
      </c>
      <c r="L64" s="6" t="str">
        <f aca="false">INDEX('Plan de cuentas'!$C$5:$C$55,MATCH(C64,'Plan de cuentas'!$A$5:$A$55,0))</f>
        <v>BIII1</v>
      </c>
      <c r="M64" s="6" t="str">
        <f aca="false">INDEX('Plan de cuentas'!$D$5:$D$55,MATCH(C64,'Plan de cuentas'!$A$5:$A$55,0))</f>
        <v>-</v>
      </c>
    </row>
    <row r="65" customFormat="false" ht="15" hidden="false" customHeight="false" outlineLevel="0" collapsed="false">
      <c r="A65" s="6" t="n">
        <v>26</v>
      </c>
      <c r="B65" s="29" t="n">
        <v>46122</v>
      </c>
      <c r="C65" s="34" t="s">
        <v>200</v>
      </c>
      <c r="D65" s="6" t="s">
        <v>201</v>
      </c>
      <c r="E65" s="6" t="s">
        <v>398</v>
      </c>
      <c r="F65" s="18"/>
      <c r="G65" s="18" t="n">
        <v>30.83</v>
      </c>
      <c r="H65" s="6" t="s">
        <v>393</v>
      </c>
      <c r="I65" s="6" t="s">
        <v>217</v>
      </c>
      <c r="J65" s="6" t="s">
        <v>399</v>
      </c>
      <c r="K65" s="18" t="n">
        <f aca="false">F65-G65</f>
        <v>-30.83</v>
      </c>
      <c r="L65" s="6" t="str">
        <f aca="false">INDEX('Plan de cuentas'!$C$5:$C$55,MATCH(C65,'Plan de cuentas'!$A$5:$A$55,0))</f>
        <v>PAVII</v>
      </c>
      <c r="M65" s="6" t="str">
        <f aca="false">INDEX('Plan de cuentas'!$D$5:$D$55,MATCH(C65,'Plan de cuentas'!$A$5:$A$55,0))</f>
        <v>P1</v>
      </c>
    </row>
    <row r="66" customFormat="false" ht="15" hidden="false" customHeight="false" outlineLevel="0" collapsed="false">
      <c r="A66" s="6" t="n">
        <v>26</v>
      </c>
      <c r="B66" s="29" t="n">
        <v>46122</v>
      </c>
      <c r="C66" s="34" t="s">
        <v>395</v>
      </c>
      <c r="D66" s="6" t="s">
        <v>396</v>
      </c>
      <c r="E66" s="6" t="s">
        <v>400</v>
      </c>
      <c r="F66" s="18"/>
      <c r="G66" s="18" t="n">
        <v>6.47</v>
      </c>
      <c r="H66" s="6" t="s">
        <v>393</v>
      </c>
      <c r="I66" s="6" t="s">
        <v>217</v>
      </c>
      <c r="J66" s="6" t="s">
        <v>399</v>
      </c>
      <c r="K66" s="18" t="n">
        <f aca="false">F66-G66</f>
        <v>-6.47</v>
      </c>
      <c r="L66" s="6" t="str">
        <f aca="false">INDEX('Plan de cuentas'!$C$5:$C$55,MATCH(C66,'Plan de cuentas'!$A$5:$A$55,0))</f>
        <v>PCV2</v>
      </c>
      <c r="M66" s="6" t="str">
        <f aca="false">INDEX('Plan de cuentas'!$D$5:$D$55,MATCH(C66,'Plan de cuentas'!$A$5:$A$55,0))</f>
        <v>-</v>
      </c>
    </row>
    <row r="67" customFormat="false" ht="15" hidden="false" customHeight="false" outlineLevel="0" collapsed="false">
      <c r="A67" s="6" t="n">
        <v>27</v>
      </c>
      <c r="B67" s="29" t="n">
        <v>46122</v>
      </c>
      <c r="C67" s="34" t="s">
        <v>308</v>
      </c>
      <c r="D67" s="6" t="s">
        <v>309</v>
      </c>
      <c r="E67" s="6" t="s">
        <v>401</v>
      </c>
      <c r="F67" s="18" t="n">
        <v>37.3</v>
      </c>
      <c r="G67" s="18"/>
      <c r="H67" s="6" t="s">
        <v>402</v>
      </c>
      <c r="I67" s="6" t="s">
        <v>217</v>
      </c>
      <c r="J67" s="6" t="s">
        <v>399</v>
      </c>
      <c r="K67" s="18" t="n">
        <f aca="false">F67-G67</f>
        <v>37.3</v>
      </c>
      <c r="L67" s="6" t="str">
        <f aca="false">INDEX('Plan de cuentas'!$C$5:$C$55,MATCH(C67,'Plan de cuentas'!$A$5:$A$55,0))</f>
        <v>BVII</v>
      </c>
      <c r="M67" s="6" t="str">
        <f aca="false">INDEX('Plan de cuentas'!$D$5:$D$55,MATCH(C67,'Plan de cuentas'!$A$5:$A$55,0))</f>
        <v>-</v>
      </c>
    </row>
    <row r="68" customFormat="false" ht="15" hidden="false" customHeight="false" outlineLevel="0" collapsed="false">
      <c r="A68" s="6" t="n">
        <v>27</v>
      </c>
      <c r="B68" s="29" t="n">
        <v>46122</v>
      </c>
      <c r="C68" s="34" t="s">
        <v>390</v>
      </c>
      <c r="D68" s="6" t="s">
        <v>391</v>
      </c>
      <c r="E68" s="6" t="s">
        <v>401</v>
      </c>
      <c r="F68" s="18"/>
      <c r="G68" s="18" t="n">
        <v>37.3</v>
      </c>
      <c r="H68" s="6" t="s">
        <v>402</v>
      </c>
      <c r="I68" s="6" t="s">
        <v>217</v>
      </c>
      <c r="J68" s="6" t="s">
        <v>399</v>
      </c>
      <c r="K68" s="18" t="n">
        <f aca="false">F68-G68</f>
        <v>-37.3</v>
      </c>
      <c r="L68" s="6" t="str">
        <f aca="false">INDEX('Plan de cuentas'!$C$5:$C$55,MATCH(C68,'Plan de cuentas'!$A$5:$A$55,0))</f>
        <v>BIII1</v>
      </c>
      <c r="M68" s="6" t="str">
        <f aca="false">INDEX('Plan de cuentas'!$D$5:$D$55,MATCH(C68,'Plan de cuentas'!$A$5:$A$55,0))</f>
        <v>-</v>
      </c>
    </row>
    <row r="69" customFormat="false" ht="15" hidden="false" customHeight="false" outlineLevel="0" collapsed="false">
      <c r="A69" s="6" t="n">
        <v>28</v>
      </c>
      <c r="B69" s="29" t="n">
        <v>46126</v>
      </c>
      <c r="C69" s="34" t="s">
        <v>390</v>
      </c>
      <c r="D69" s="6" t="s">
        <v>391</v>
      </c>
      <c r="E69" s="6" t="s">
        <v>403</v>
      </c>
      <c r="F69" s="18" t="n">
        <v>27.95</v>
      </c>
      <c r="G69" s="18"/>
      <c r="H69" s="6" t="s">
        <v>393</v>
      </c>
      <c r="I69" s="6" t="s">
        <v>217</v>
      </c>
      <c r="J69" s="6" t="s">
        <v>404</v>
      </c>
      <c r="K69" s="18" t="n">
        <f aca="false">F69-G69</f>
        <v>27.95</v>
      </c>
      <c r="L69" s="6" t="str">
        <f aca="false">INDEX('Plan de cuentas'!$C$5:$C$55,MATCH(C69,'Plan de cuentas'!$A$5:$A$55,0))</f>
        <v>BIII1</v>
      </c>
      <c r="M69" s="6" t="str">
        <f aca="false">INDEX('Plan de cuentas'!$D$5:$D$55,MATCH(C69,'Plan de cuentas'!$A$5:$A$55,0))</f>
        <v>-</v>
      </c>
    </row>
    <row r="70" customFormat="false" ht="15" hidden="false" customHeight="false" outlineLevel="0" collapsed="false">
      <c r="A70" s="6" t="n">
        <v>28</v>
      </c>
      <c r="B70" s="29" t="n">
        <v>46126</v>
      </c>
      <c r="C70" s="34" t="s">
        <v>200</v>
      </c>
      <c r="D70" s="6" t="s">
        <v>201</v>
      </c>
      <c r="E70" s="6" t="s">
        <v>403</v>
      </c>
      <c r="F70" s="18"/>
      <c r="G70" s="18" t="n">
        <v>23.1</v>
      </c>
      <c r="H70" s="6" t="s">
        <v>393</v>
      </c>
      <c r="I70" s="6" t="s">
        <v>217</v>
      </c>
      <c r="J70" s="6" t="s">
        <v>404</v>
      </c>
      <c r="K70" s="18" t="n">
        <f aca="false">F70-G70</f>
        <v>-23.1</v>
      </c>
      <c r="L70" s="6" t="str">
        <f aca="false">INDEX('Plan de cuentas'!$C$5:$C$55,MATCH(C70,'Plan de cuentas'!$A$5:$A$55,0))</f>
        <v>PAVII</v>
      </c>
      <c r="M70" s="6" t="str">
        <f aca="false">INDEX('Plan de cuentas'!$D$5:$D$55,MATCH(C70,'Plan de cuentas'!$A$5:$A$55,0))</f>
        <v>P1</v>
      </c>
    </row>
    <row r="71" customFormat="false" ht="15" hidden="false" customHeight="false" outlineLevel="0" collapsed="false">
      <c r="A71" s="6" t="n">
        <v>28</v>
      </c>
      <c r="B71" s="29" t="n">
        <v>46126</v>
      </c>
      <c r="C71" s="34" t="s">
        <v>395</v>
      </c>
      <c r="D71" s="6" t="s">
        <v>396</v>
      </c>
      <c r="E71" s="6" t="s">
        <v>405</v>
      </c>
      <c r="F71" s="18"/>
      <c r="G71" s="18" t="n">
        <v>4.85</v>
      </c>
      <c r="H71" s="6" t="s">
        <v>393</v>
      </c>
      <c r="I71" s="6" t="s">
        <v>217</v>
      </c>
      <c r="J71" s="6" t="s">
        <v>404</v>
      </c>
      <c r="K71" s="18" t="n">
        <f aca="false">F71-G71</f>
        <v>-4.85</v>
      </c>
      <c r="L71" s="6" t="str">
        <f aca="false">INDEX('Plan de cuentas'!$C$5:$C$55,MATCH(C71,'Plan de cuentas'!$A$5:$A$55,0))</f>
        <v>PCV2</v>
      </c>
      <c r="M71" s="6" t="str">
        <f aca="false">INDEX('Plan de cuentas'!$D$5:$D$55,MATCH(C71,'Plan de cuentas'!$A$5:$A$55,0))</f>
        <v>-</v>
      </c>
    </row>
    <row r="72" customFormat="false" ht="15" hidden="false" customHeight="false" outlineLevel="0" collapsed="false">
      <c r="A72" s="6" t="n">
        <v>29</v>
      </c>
      <c r="B72" s="29" t="n">
        <v>46126</v>
      </c>
      <c r="C72" s="34" t="s">
        <v>308</v>
      </c>
      <c r="D72" s="6" t="s">
        <v>309</v>
      </c>
      <c r="E72" s="6" t="s">
        <v>406</v>
      </c>
      <c r="F72" s="18" t="n">
        <v>27.95</v>
      </c>
      <c r="G72" s="18"/>
      <c r="H72" s="6" t="s">
        <v>402</v>
      </c>
      <c r="I72" s="6" t="s">
        <v>217</v>
      </c>
      <c r="J72" s="6" t="s">
        <v>404</v>
      </c>
      <c r="K72" s="18" t="n">
        <f aca="false">F72-G72</f>
        <v>27.95</v>
      </c>
      <c r="L72" s="6" t="str">
        <f aca="false">INDEX('Plan de cuentas'!$C$5:$C$55,MATCH(C72,'Plan de cuentas'!$A$5:$A$55,0))</f>
        <v>BVII</v>
      </c>
      <c r="M72" s="6" t="str">
        <f aca="false">INDEX('Plan de cuentas'!$D$5:$D$55,MATCH(C72,'Plan de cuentas'!$A$5:$A$55,0))</f>
        <v>-</v>
      </c>
    </row>
    <row r="73" customFormat="false" ht="15" hidden="false" customHeight="false" outlineLevel="0" collapsed="false">
      <c r="A73" s="6" t="n">
        <v>29</v>
      </c>
      <c r="B73" s="29" t="n">
        <v>46126</v>
      </c>
      <c r="C73" s="34" t="s">
        <v>390</v>
      </c>
      <c r="D73" s="6" t="s">
        <v>391</v>
      </c>
      <c r="E73" s="6" t="s">
        <v>406</v>
      </c>
      <c r="F73" s="18"/>
      <c r="G73" s="18" t="n">
        <v>27.95</v>
      </c>
      <c r="H73" s="6" t="s">
        <v>402</v>
      </c>
      <c r="I73" s="6" t="s">
        <v>217</v>
      </c>
      <c r="J73" s="6" t="s">
        <v>404</v>
      </c>
      <c r="K73" s="18" t="n">
        <f aca="false">F73-G73</f>
        <v>-27.95</v>
      </c>
      <c r="L73" s="6" t="str">
        <f aca="false">INDEX('Plan de cuentas'!$C$5:$C$55,MATCH(C73,'Plan de cuentas'!$A$5:$A$55,0))</f>
        <v>BIII1</v>
      </c>
      <c r="M73" s="6" t="str">
        <f aca="false">INDEX('Plan de cuentas'!$D$5:$D$55,MATCH(C73,'Plan de cuentas'!$A$5:$A$55,0))</f>
        <v>-</v>
      </c>
    </row>
    <row r="74" customFormat="false" ht="15" hidden="false" customHeight="false" outlineLevel="0" collapsed="false">
      <c r="A74" s="6" t="n">
        <v>30</v>
      </c>
      <c r="B74" s="29" t="n">
        <v>46130</v>
      </c>
      <c r="C74" s="34" t="s">
        <v>390</v>
      </c>
      <c r="D74" s="6" t="s">
        <v>391</v>
      </c>
      <c r="E74" s="6" t="s">
        <v>407</v>
      </c>
      <c r="F74" s="18" t="n">
        <v>52.85</v>
      </c>
      <c r="G74" s="18"/>
      <c r="H74" s="6" t="s">
        <v>393</v>
      </c>
      <c r="I74" s="6" t="s">
        <v>217</v>
      </c>
      <c r="J74" s="6" t="s">
        <v>408</v>
      </c>
      <c r="K74" s="18" t="n">
        <f aca="false">F74-G74</f>
        <v>52.85</v>
      </c>
      <c r="L74" s="6" t="str">
        <f aca="false">INDEX('Plan de cuentas'!$C$5:$C$55,MATCH(C74,'Plan de cuentas'!$A$5:$A$55,0))</f>
        <v>BIII1</v>
      </c>
      <c r="M74" s="6" t="str">
        <f aca="false">INDEX('Plan de cuentas'!$D$5:$D$55,MATCH(C74,'Plan de cuentas'!$A$5:$A$55,0))</f>
        <v>-</v>
      </c>
    </row>
    <row r="75" customFormat="false" ht="15" hidden="false" customHeight="false" outlineLevel="0" collapsed="false">
      <c r="A75" s="6" t="n">
        <v>30</v>
      </c>
      <c r="B75" s="29" t="n">
        <v>46130</v>
      </c>
      <c r="C75" s="34" t="s">
        <v>200</v>
      </c>
      <c r="D75" s="6" t="s">
        <v>201</v>
      </c>
      <c r="E75" s="6" t="s">
        <v>407</v>
      </c>
      <c r="F75" s="18"/>
      <c r="G75" s="18" t="n">
        <v>43.68</v>
      </c>
      <c r="H75" s="6" t="s">
        <v>393</v>
      </c>
      <c r="I75" s="6" t="s">
        <v>217</v>
      </c>
      <c r="J75" s="6" t="s">
        <v>408</v>
      </c>
      <c r="K75" s="18" t="n">
        <f aca="false">F75-G75</f>
        <v>-43.68</v>
      </c>
      <c r="L75" s="6" t="str">
        <f aca="false">INDEX('Plan de cuentas'!$C$5:$C$55,MATCH(C75,'Plan de cuentas'!$A$5:$A$55,0))</f>
        <v>PAVII</v>
      </c>
      <c r="M75" s="6" t="str">
        <f aca="false">INDEX('Plan de cuentas'!$D$5:$D$55,MATCH(C75,'Plan de cuentas'!$A$5:$A$55,0))</f>
        <v>P1</v>
      </c>
    </row>
    <row r="76" customFormat="false" ht="15" hidden="false" customHeight="false" outlineLevel="0" collapsed="false">
      <c r="A76" s="6" t="n">
        <v>30</v>
      </c>
      <c r="B76" s="29" t="n">
        <v>46130</v>
      </c>
      <c r="C76" s="34" t="s">
        <v>395</v>
      </c>
      <c r="D76" s="6" t="s">
        <v>396</v>
      </c>
      <c r="E76" s="6" t="s">
        <v>409</v>
      </c>
      <c r="F76" s="18"/>
      <c r="G76" s="18" t="n">
        <v>9.17</v>
      </c>
      <c r="H76" s="6" t="s">
        <v>393</v>
      </c>
      <c r="I76" s="6" t="s">
        <v>217</v>
      </c>
      <c r="J76" s="6" t="s">
        <v>408</v>
      </c>
      <c r="K76" s="18" t="n">
        <f aca="false">F76-G76</f>
        <v>-9.17</v>
      </c>
      <c r="L76" s="6" t="str">
        <f aca="false">INDEX('Plan de cuentas'!$C$5:$C$55,MATCH(C76,'Plan de cuentas'!$A$5:$A$55,0))</f>
        <v>PCV2</v>
      </c>
      <c r="M76" s="6" t="str">
        <f aca="false">INDEX('Plan de cuentas'!$D$5:$D$55,MATCH(C76,'Plan de cuentas'!$A$5:$A$55,0))</f>
        <v>-</v>
      </c>
    </row>
    <row r="77" customFormat="false" ht="15" hidden="false" customHeight="false" outlineLevel="0" collapsed="false">
      <c r="A77" s="6" t="n">
        <v>31</v>
      </c>
      <c r="B77" s="29" t="n">
        <v>46130</v>
      </c>
      <c r="C77" s="34" t="s">
        <v>308</v>
      </c>
      <c r="D77" s="6" t="s">
        <v>309</v>
      </c>
      <c r="E77" s="6" t="s">
        <v>410</v>
      </c>
      <c r="F77" s="18" t="n">
        <v>52.85</v>
      </c>
      <c r="G77" s="18"/>
      <c r="H77" s="6" t="s">
        <v>402</v>
      </c>
      <c r="I77" s="6" t="s">
        <v>217</v>
      </c>
      <c r="J77" s="6" t="s">
        <v>408</v>
      </c>
      <c r="K77" s="18" t="n">
        <f aca="false">F77-G77</f>
        <v>52.85</v>
      </c>
      <c r="L77" s="6" t="str">
        <f aca="false">INDEX('Plan de cuentas'!$C$5:$C$55,MATCH(C77,'Plan de cuentas'!$A$5:$A$55,0))</f>
        <v>BVII</v>
      </c>
      <c r="M77" s="6" t="str">
        <f aca="false">INDEX('Plan de cuentas'!$D$5:$D$55,MATCH(C77,'Plan de cuentas'!$A$5:$A$55,0))</f>
        <v>-</v>
      </c>
    </row>
    <row r="78" customFormat="false" ht="15" hidden="false" customHeight="false" outlineLevel="0" collapsed="false">
      <c r="A78" s="6" t="n">
        <v>31</v>
      </c>
      <c r="B78" s="29" t="n">
        <v>46130</v>
      </c>
      <c r="C78" s="34" t="s">
        <v>390</v>
      </c>
      <c r="D78" s="6" t="s">
        <v>391</v>
      </c>
      <c r="E78" s="6" t="s">
        <v>410</v>
      </c>
      <c r="F78" s="18"/>
      <c r="G78" s="18" t="n">
        <v>52.85</v>
      </c>
      <c r="H78" s="6" t="s">
        <v>402</v>
      </c>
      <c r="I78" s="6" t="s">
        <v>217</v>
      </c>
      <c r="J78" s="6" t="s">
        <v>408</v>
      </c>
      <c r="K78" s="18" t="n">
        <f aca="false">F78-G78</f>
        <v>-52.85</v>
      </c>
      <c r="L78" s="6" t="str">
        <f aca="false">INDEX('Plan de cuentas'!$C$5:$C$55,MATCH(C78,'Plan de cuentas'!$A$5:$A$55,0))</f>
        <v>BIII1</v>
      </c>
      <c r="M78" s="6" t="str">
        <f aca="false">INDEX('Plan de cuentas'!$D$5:$D$55,MATCH(C78,'Plan de cuentas'!$A$5:$A$55,0))</f>
        <v>-</v>
      </c>
    </row>
    <row r="79" customFormat="false" ht="15" hidden="false" customHeight="false" outlineLevel="0" collapsed="false">
      <c r="A79" s="6" t="n">
        <v>32</v>
      </c>
      <c r="B79" s="29" t="n">
        <v>46131</v>
      </c>
      <c r="C79" s="34" t="s">
        <v>192</v>
      </c>
      <c r="D79" s="6" t="s">
        <v>193</v>
      </c>
      <c r="E79" s="6" t="s">
        <v>411</v>
      </c>
      <c r="F79" s="18" t="n">
        <v>47.94</v>
      </c>
      <c r="G79" s="18"/>
      <c r="H79" s="6" t="s">
        <v>334</v>
      </c>
      <c r="I79" s="6" t="s">
        <v>225</v>
      </c>
      <c r="J79" s="6" t="s">
        <v>412</v>
      </c>
      <c r="K79" s="18" t="n">
        <f aca="false">F79-G79</f>
        <v>47.94</v>
      </c>
      <c r="L79" s="6" t="str">
        <f aca="false">INDEX('Plan de cuentas'!$C$5:$C$55,MATCH(C79,'Plan de cuentas'!$A$5:$A$55,0))</f>
        <v>PAVII</v>
      </c>
      <c r="M79" s="6" t="str">
        <f aca="false">INDEX('Plan de cuentas'!$D$5:$D$55,MATCH(C79,'Plan de cuentas'!$A$5:$A$55,0))</f>
        <v>P7b</v>
      </c>
    </row>
    <row r="80" customFormat="false" ht="15" hidden="false" customHeight="false" outlineLevel="0" collapsed="false">
      <c r="A80" s="6" t="n">
        <v>32</v>
      </c>
      <c r="B80" s="29" t="n">
        <v>46131</v>
      </c>
      <c r="C80" s="34" t="s">
        <v>336</v>
      </c>
      <c r="D80" s="6" t="s">
        <v>337</v>
      </c>
      <c r="E80" s="6" t="s">
        <v>411</v>
      </c>
      <c r="F80" s="18"/>
      <c r="G80" s="18" t="n">
        <v>47.94</v>
      </c>
      <c r="H80" s="6" t="s">
        <v>334</v>
      </c>
      <c r="I80" s="6" t="s">
        <v>225</v>
      </c>
      <c r="J80" s="6" t="s">
        <v>412</v>
      </c>
      <c r="K80" s="18" t="n">
        <f aca="false">F80-G80</f>
        <v>-47.94</v>
      </c>
      <c r="L80" s="6" t="str">
        <f aca="false">INDEX('Plan de cuentas'!$C$5:$C$55,MATCH(C80,'Plan de cuentas'!$A$5:$A$55,0))</f>
        <v>PCV1</v>
      </c>
      <c r="M80" s="6" t="str">
        <f aca="false">INDEX('Plan de cuentas'!$D$5:$D$55,MATCH(C80,'Plan de cuentas'!$A$5:$A$55,0))</f>
        <v>-</v>
      </c>
    </row>
    <row r="81" customFormat="false" ht="15" hidden="false" customHeight="false" outlineLevel="0" collapsed="false">
      <c r="A81" s="6" t="n">
        <v>33</v>
      </c>
      <c r="B81" s="29" t="n">
        <v>46131</v>
      </c>
      <c r="C81" s="34" t="s">
        <v>336</v>
      </c>
      <c r="D81" s="6" t="s">
        <v>337</v>
      </c>
      <c r="E81" s="6" t="s">
        <v>413</v>
      </c>
      <c r="F81" s="18" t="n">
        <v>47.94</v>
      </c>
      <c r="G81" s="18"/>
      <c r="H81" s="6" t="s">
        <v>361</v>
      </c>
      <c r="I81" s="6" t="s">
        <v>225</v>
      </c>
      <c r="J81" s="6" t="s">
        <v>412</v>
      </c>
      <c r="K81" s="18" t="n">
        <f aca="false">F81-G81</f>
        <v>47.94</v>
      </c>
      <c r="L81" s="6" t="str">
        <f aca="false">INDEX('Plan de cuentas'!$C$5:$C$55,MATCH(C81,'Plan de cuentas'!$A$5:$A$55,0))</f>
        <v>PCV1</v>
      </c>
      <c r="M81" s="6" t="str">
        <f aca="false">INDEX('Plan de cuentas'!$D$5:$D$55,MATCH(C81,'Plan de cuentas'!$A$5:$A$55,0))</f>
        <v>-</v>
      </c>
    </row>
    <row r="82" customFormat="false" ht="15" hidden="false" customHeight="false" outlineLevel="0" collapsed="false">
      <c r="A82" s="6" t="n">
        <v>33</v>
      </c>
      <c r="B82" s="29" t="n">
        <v>46131</v>
      </c>
      <c r="C82" s="34" t="s">
        <v>308</v>
      </c>
      <c r="D82" s="6" t="s">
        <v>309</v>
      </c>
      <c r="E82" s="6" t="s">
        <v>413</v>
      </c>
      <c r="F82" s="18"/>
      <c r="G82" s="18" t="n">
        <v>47.94</v>
      </c>
      <c r="H82" s="6" t="s">
        <v>361</v>
      </c>
      <c r="I82" s="6" t="s">
        <v>225</v>
      </c>
      <c r="J82" s="6" t="s">
        <v>412</v>
      </c>
      <c r="K82" s="18" t="n">
        <f aca="false">F82-G82</f>
        <v>-47.94</v>
      </c>
      <c r="L82" s="6" t="str">
        <f aca="false">INDEX('Plan de cuentas'!$C$5:$C$55,MATCH(C82,'Plan de cuentas'!$A$5:$A$55,0))</f>
        <v>BVII</v>
      </c>
      <c r="M82" s="6" t="str">
        <f aca="false">INDEX('Plan de cuentas'!$D$5:$D$55,MATCH(C82,'Plan de cuentas'!$A$5:$A$55,0))</f>
        <v>-</v>
      </c>
    </row>
    <row r="83" customFormat="false" ht="15" hidden="false" customHeight="false" outlineLevel="0" collapsed="false">
      <c r="A83" s="6" t="n">
        <v>34</v>
      </c>
      <c r="B83" s="29" t="n">
        <v>46131</v>
      </c>
      <c r="C83" s="34" t="s">
        <v>390</v>
      </c>
      <c r="D83" s="6" t="s">
        <v>391</v>
      </c>
      <c r="E83" s="6" t="s">
        <v>414</v>
      </c>
      <c r="F83" s="18" t="n">
        <v>700</v>
      </c>
      <c r="G83" s="18"/>
      <c r="H83" s="6" t="s">
        <v>393</v>
      </c>
      <c r="I83" s="6"/>
      <c r="J83" s="6" t="s">
        <v>415</v>
      </c>
      <c r="K83" s="18" t="n">
        <f aca="false">F83-G83</f>
        <v>700</v>
      </c>
      <c r="L83" s="6" t="str">
        <f aca="false">INDEX('Plan de cuentas'!$C$5:$C$55,MATCH(C83,'Plan de cuentas'!$A$5:$A$55,0))</f>
        <v>BIII1</v>
      </c>
      <c r="M83" s="6" t="str">
        <f aca="false">INDEX('Plan de cuentas'!$D$5:$D$55,MATCH(C83,'Plan de cuentas'!$A$5:$A$55,0))</f>
        <v>-</v>
      </c>
    </row>
    <row r="84" customFormat="false" ht="15" hidden="false" customHeight="false" outlineLevel="0" collapsed="false">
      <c r="A84" s="6" t="n">
        <v>34</v>
      </c>
      <c r="B84" s="29" t="n">
        <v>46131</v>
      </c>
      <c r="C84" s="34" t="s">
        <v>200</v>
      </c>
      <c r="D84" s="6" t="s">
        <v>201</v>
      </c>
      <c r="E84" s="6" t="s">
        <v>414</v>
      </c>
      <c r="F84" s="18"/>
      <c r="G84" s="18" t="n">
        <v>578.51</v>
      </c>
      <c r="H84" s="6" t="s">
        <v>393</v>
      </c>
      <c r="I84" s="6"/>
      <c r="J84" s="6" t="s">
        <v>415</v>
      </c>
      <c r="K84" s="18" t="n">
        <f aca="false">F84-G84</f>
        <v>-578.51</v>
      </c>
      <c r="L84" s="6" t="str">
        <f aca="false">INDEX('Plan de cuentas'!$C$5:$C$55,MATCH(C84,'Plan de cuentas'!$A$5:$A$55,0))</f>
        <v>PAVII</v>
      </c>
      <c r="M84" s="6" t="str">
        <f aca="false">INDEX('Plan de cuentas'!$D$5:$D$55,MATCH(C84,'Plan de cuentas'!$A$5:$A$55,0))</f>
        <v>P1</v>
      </c>
    </row>
    <row r="85" customFormat="false" ht="15" hidden="false" customHeight="false" outlineLevel="0" collapsed="false">
      <c r="A85" s="6" t="n">
        <v>34</v>
      </c>
      <c r="B85" s="29" t="n">
        <v>46131</v>
      </c>
      <c r="C85" s="34" t="s">
        <v>395</v>
      </c>
      <c r="D85" s="6" t="s">
        <v>396</v>
      </c>
      <c r="E85" s="6" t="s">
        <v>416</v>
      </c>
      <c r="F85" s="18"/>
      <c r="G85" s="18" t="n">
        <v>121.49</v>
      </c>
      <c r="H85" s="6" t="s">
        <v>393</v>
      </c>
      <c r="I85" s="6"/>
      <c r="J85" s="6" t="s">
        <v>415</v>
      </c>
      <c r="K85" s="18" t="n">
        <f aca="false">F85-G85</f>
        <v>-121.49</v>
      </c>
      <c r="L85" s="6" t="str">
        <f aca="false">INDEX('Plan de cuentas'!$C$5:$C$55,MATCH(C85,'Plan de cuentas'!$A$5:$A$55,0))</f>
        <v>PCV2</v>
      </c>
      <c r="M85" s="6" t="str">
        <f aca="false">INDEX('Plan de cuentas'!$D$5:$D$55,MATCH(C85,'Plan de cuentas'!$A$5:$A$55,0))</f>
        <v>-</v>
      </c>
    </row>
    <row r="86" customFormat="false" ht="15" hidden="false" customHeight="false" outlineLevel="0" collapsed="false">
      <c r="A86" s="6" t="n">
        <v>35</v>
      </c>
      <c r="B86" s="29" t="n">
        <v>46142</v>
      </c>
      <c r="C86" s="34" t="s">
        <v>198</v>
      </c>
      <c r="D86" s="6" t="s">
        <v>199</v>
      </c>
      <c r="E86" s="6" t="s">
        <v>417</v>
      </c>
      <c r="F86" s="18" t="n">
        <v>55.19</v>
      </c>
      <c r="G86" s="18"/>
      <c r="H86" s="6" t="s">
        <v>341</v>
      </c>
      <c r="I86" s="6" t="s">
        <v>217</v>
      </c>
      <c r="J86" s="6" t="s">
        <v>418</v>
      </c>
      <c r="K86" s="18" t="n">
        <f aca="false">F86-G86</f>
        <v>55.19</v>
      </c>
      <c r="L86" s="6" t="str">
        <f aca="false">INDEX('Plan de cuentas'!$C$5:$C$55,MATCH(C86,'Plan de cuentas'!$A$5:$A$55,0))</f>
        <v>PAVII</v>
      </c>
      <c r="M86" s="6" t="str">
        <f aca="false">INDEX('Plan de cuentas'!$D$5:$D$55,MATCH(C86,'Plan de cuentas'!$A$5:$A$55,0))</f>
        <v>P8</v>
      </c>
    </row>
    <row r="87" customFormat="false" ht="15" hidden="false" customHeight="false" outlineLevel="0" collapsed="false">
      <c r="A87" s="6" t="n">
        <v>35</v>
      </c>
      <c r="B87" s="29" t="n">
        <v>46142</v>
      </c>
      <c r="C87" s="34" t="s">
        <v>343</v>
      </c>
      <c r="D87" s="6" t="s">
        <v>344</v>
      </c>
      <c r="E87" s="6" t="s">
        <v>417</v>
      </c>
      <c r="F87" s="18"/>
      <c r="G87" s="18" t="n">
        <v>55.19</v>
      </c>
      <c r="H87" s="6" t="s">
        <v>341</v>
      </c>
      <c r="I87" s="6" t="s">
        <v>217</v>
      </c>
      <c r="J87" s="6" t="s">
        <v>418</v>
      </c>
      <c r="K87" s="18" t="n">
        <f aca="false">F87-G87</f>
        <v>-55.19</v>
      </c>
      <c r="L87" s="6" t="str">
        <f aca="false">INDEX('Plan de cuentas'!$C$5:$C$55,MATCH(C87,'Plan de cuentas'!$A$5:$A$55,0))</f>
        <v>AII3</v>
      </c>
      <c r="M87" s="6" t="str">
        <f aca="false">INDEX('Plan de cuentas'!$D$5:$D$55,MATCH(C87,'Plan de cuentas'!$A$5:$A$55,0))</f>
        <v>-</v>
      </c>
    </row>
    <row r="88" customFormat="false" ht="15" hidden="false" customHeight="false" outlineLevel="0" collapsed="false">
      <c r="A88" s="6" t="n">
        <v>36</v>
      </c>
      <c r="B88" s="29" t="n">
        <v>46142</v>
      </c>
      <c r="C88" s="34" t="s">
        <v>198</v>
      </c>
      <c r="D88" s="6" t="s">
        <v>199</v>
      </c>
      <c r="E88" s="6" t="s">
        <v>419</v>
      </c>
      <c r="F88" s="18" t="n">
        <v>120.88</v>
      </c>
      <c r="G88" s="18"/>
      <c r="H88" s="6" t="s">
        <v>341</v>
      </c>
      <c r="I88" s="6" t="s">
        <v>222</v>
      </c>
      <c r="J88" s="6" t="s">
        <v>420</v>
      </c>
      <c r="K88" s="18" t="n">
        <f aca="false">F88-G88</f>
        <v>120.88</v>
      </c>
      <c r="L88" s="6" t="str">
        <f aca="false">INDEX('Plan de cuentas'!$C$5:$C$55,MATCH(C88,'Plan de cuentas'!$A$5:$A$55,0))</f>
        <v>PAVII</v>
      </c>
      <c r="M88" s="6" t="str">
        <f aca="false">INDEX('Plan de cuentas'!$D$5:$D$55,MATCH(C88,'Plan de cuentas'!$A$5:$A$55,0))</f>
        <v>P8</v>
      </c>
    </row>
    <row r="89" customFormat="false" ht="15" hidden="false" customHeight="false" outlineLevel="0" collapsed="false">
      <c r="A89" s="6" t="n">
        <v>36</v>
      </c>
      <c r="B89" s="29" t="n">
        <v>46142</v>
      </c>
      <c r="C89" s="34" t="s">
        <v>343</v>
      </c>
      <c r="D89" s="6" t="s">
        <v>344</v>
      </c>
      <c r="E89" s="6" t="s">
        <v>419</v>
      </c>
      <c r="F89" s="18"/>
      <c r="G89" s="18" t="n">
        <v>120.88</v>
      </c>
      <c r="H89" s="6" t="s">
        <v>341</v>
      </c>
      <c r="I89" s="6" t="s">
        <v>222</v>
      </c>
      <c r="J89" s="6" t="s">
        <v>420</v>
      </c>
      <c r="K89" s="18" t="n">
        <f aca="false">F89-G89</f>
        <v>-120.88</v>
      </c>
      <c r="L89" s="6" t="str">
        <f aca="false">INDEX('Plan de cuentas'!$C$5:$C$55,MATCH(C89,'Plan de cuentas'!$A$5:$A$55,0))</f>
        <v>AII3</v>
      </c>
      <c r="M89" s="6" t="str">
        <f aca="false">INDEX('Plan de cuentas'!$D$5:$D$55,MATCH(C89,'Plan de cuentas'!$A$5:$A$55,0))</f>
        <v>-</v>
      </c>
    </row>
    <row r="90" customFormat="false" ht="15" hidden="false" customHeight="false" outlineLevel="0" collapsed="false">
      <c r="A90" s="6" t="n">
        <v>37</v>
      </c>
      <c r="B90" s="29" t="n">
        <v>46142</v>
      </c>
      <c r="C90" s="34" t="s">
        <v>198</v>
      </c>
      <c r="D90" s="6" t="s">
        <v>199</v>
      </c>
      <c r="E90" s="6" t="s">
        <v>421</v>
      </c>
      <c r="F90" s="18" t="n">
        <v>80.96</v>
      </c>
      <c r="G90" s="18"/>
      <c r="H90" s="6" t="s">
        <v>341</v>
      </c>
      <c r="I90" s="6" t="s">
        <v>225</v>
      </c>
      <c r="J90" s="6" t="s">
        <v>422</v>
      </c>
      <c r="K90" s="18" t="n">
        <f aca="false">F90-G90</f>
        <v>80.96</v>
      </c>
      <c r="L90" s="6" t="str">
        <f aca="false">INDEX('Plan de cuentas'!$C$5:$C$55,MATCH(C90,'Plan de cuentas'!$A$5:$A$55,0))</f>
        <v>PAVII</v>
      </c>
      <c r="M90" s="6" t="str">
        <f aca="false">INDEX('Plan de cuentas'!$D$5:$D$55,MATCH(C90,'Plan de cuentas'!$A$5:$A$55,0))</f>
        <v>P8</v>
      </c>
    </row>
    <row r="91" customFormat="false" ht="15" hidden="false" customHeight="false" outlineLevel="0" collapsed="false">
      <c r="A91" s="6" t="n">
        <v>37</v>
      </c>
      <c r="B91" s="29" t="n">
        <v>46142</v>
      </c>
      <c r="C91" s="34" t="s">
        <v>343</v>
      </c>
      <c r="D91" s="6" t="s">
        <v>344</v>
      </c>
      <c r="E91" s="6" t="s">
        <v>421</v>
      </c>
      <c r="F91" s="18"/>
      <c r="G91" s="18" t="n">
        <v>80.96</v>
      </c>
      <c r="H91" s="6" t="s">
        <v>341</v>
      </c>
      <c r="I91" s="6" t="s">
        <v>225</v>
      </c>
      <c r="J91" s="6" t="s">
        <v>422</v>
      </c>
      <c r="K91" s="18" t="n">
        <f aca="false">F91-G91</f>
        <v>-80.96</v>
      </c>
      <c r="L91" s="6" t="str">
        <f aca="false">INDEX('Plan de cuentas'!$C$5:$C$55,MATCH(C91,'Plan de cuentas'!$A$5:$A$55,0))</f>
        <v>AII3</v>
      </c>
      <c r="M91" s="6" t="str">
        <f aca="false">INDEX('Plan de cuentas'!$D$5:$D$55,MATCH(C91,'Plan de cuentas'!$A$5:$A$55,0))</f>
        <v>-</v>
      </c>
    </row>
    <row r="92" customFormat="false" ht="15" hidden="false" customHeight="false" outlineLevel="0" collapsed="false">
      <c r="A92" s="6" t="n">
        <v>38</v>
      </c>
      <c r="B92" s="29" t="n">
        <v>46148</v>
      </c>
      <c r="C92" s="34" t="s">
        <v>329</v>
      </c>
      <c r="D92" s="6" t="s">
        <v>330</v>
      </c>
      <c r="E92" s="6" t="s">
        <v>423</v>
      </c>
      <c r="F92" s="18" t="n">
        <v>6967.03</v>
      </c>
      <c r="G92" s="18"/>
      <c r="H92" s="6" t="s">
        <v>346</v>
      </c>
      <c r="I92" s="6" t="s">
        <v>229</v>
      </c>
      <c r="J92" s="6"/>
      <c r="K92" s="18" t="n">
        <f aca="false">F92-G92</f>
        <v>6967.03</v>
      </c>
      <c r="L92" s="6" t="str">
        <f aca="false">INDEX('Plan de cuentas'!$C$5:$C$55,MATCH(C92,'Plan de cuentas'!$A$5:$A$55,0))</f>
        <v>AII1</v>
      </c>
      <c r="M92" s="6" t="str">
        <f aca="false">INDEX('Plan de cuentas'!$D$5:$D$55,MATCH(C92,'Plan de cuentas'!$A$5:$A$55,0))</f>
        <v>-</v>
      </c>
    </row>
    <row r="93" customFormat="false" ht="15" hidden="false" customHeight="false" outlineLevel="0" collapsed="false">
      <c r="A93" s="6" t="n">
        <v>38</v>
      </c>
      <c r="B93" s="29" t="n">
        <v>46148</v>
      </c>
      <c r="C93" s="34" t="s">
        <v>348</v>
      </c>
      <c r="D93" s="6" t="s">
        <v>267</v>
      </c>
      <c r="E93" s="6" t="s">
        <v>423</v>
      </c>
      <c r="F93" s="18"/>
      <c r="G93" s="18" t="n">
        <v>6967.03</v>
      </c>
      <c r="H93" s="6" t="s">
        <v>346</v>
      </c>
      <c r="I93" s="6" t="s">
        <v>229</v>
      </c>
      <c r="J93" s="6"/>
      <c r="K93" s="18" t="n">
        <f aca="false">F93-G93</f>
        <v>-6967.03</v>
      </c>
      <c r="L93" s="6" t="str">
        <f aca="false">INDEX('Plan de cuentas'!$C$5:$C$55,MATCH(C93,'Plan de cuentas'!$A$5:$A$55,0))</f>
        <v>D555</v>
      </c>
      <c r="M93" s="6" t="str">
        <f aca="false">INDEX('Plan de cuentas'!$D$5:$D$55,MATCH(C93,'Plan de cuentas'!$A$5:$A$55,0))</f>
        <v>-</v>
      </c>
    </row>
    <row r="94" customFormat="false" ht="15" hidden="false" customHeight="false" outlineLevel="0" collapsed="false">
      <c r="A94" s="6" t="n">
        <v>39</v>
      </c>
      <c r="B94" s="29" t="n">
        <v>46148</v>
      </c>
      <c r="C94" s="34" t="s">
        <v>329</v>
      </c>
      <c r="D94" s="6" t="s">
        <v>330</v>
      </c>
      <c r="E94" s="6" t="s">
        <v>424</v>
      </c>
      <c r="F94" s="18" t="n">
        <v>2411.23</v>
      </c>
      <c r="G94" s="18"/>
      <c r="H94" s="6" t="s">
        <v>334</v>
      </c>
      <c r="I94" s="6" t="s">
        <v>229</v>
      </c>
      <c r="J94" s="6" t="s">
        <v>425</v>
      </c>
      <c r="K94" s="18" t="n">
        <f aca="false">F94-G94</f>
        <v>2411.23</v>
      </c>
      <c r="L94" s="6" t="str">
        <f aca="false">INDEX('Plan de cuentas'!$C$5:$C$55,MATCH(C94,'Plan de cuentas'!$A$5:$A$55,0))</f>
        <v>AII1</v>
      </c>
      <c r="M94" s="6" t="str">
        <f aca="false">INDEX('Plan de cuentas'!$D$5:$D$55,MATCH(C94,'Plan de cuentas'!$A$5:$A$55,0))</f>
        <v>-</v>
      </c>
    </row>
    <row r="95" customFormat="false" ht="15" hidden="false" customHeight="false" outlineLevel="0" collapsed="false">
      <c r="A95" s="6" t="n">
        <v>39</v>
      </c>
      <c r="B95" s="29" t="n">
        <v>46148</v>
      </c>
      <c r="C95" s="34" t="s">
        <v>336</v>
      </c>
      <c r="D95" s="6" t="s">
        <v>337</v>
      </c>
      <c r="E95" s="6" t="s">
        <v>424</v>
      </c>
      <c r="F95" s="18"/>
      <c r="G95" s="18" t="n">
        <v>2411.23</v>
      </c>
      <c r="H95" s="6" t="s">
        <v>334</v>
      </c>
      <c r="I95" s="6" t="s">
        <v>229</v>
      </c>
      <c r="J95" s="6" t="s">
        <v>425</v>
      </c>
      <c r="K95" s="18" t="n">
        <f aca="false">F95-G95</f>
        <v>-2411.23</v>
      </c>
      <c r="L95" s="6" t="str">
        <f aca="false">INDEX('Plan de cuentas'!$C$5:$C$55,MATCH(C95,'Plan de cuentas'!$A$5:$A$55,0))</f>
        <v>PCV1</v>
      </c>
      <c r="M95" s="6" t="str">
        <f aca="false">INDEX('Plan de cuentas'!$D$5:$D$55,MATCH(C95,'Plan de cuentas'!$A$5:$A$55,0))</f>
        <v>-</v>
      </c>
    </row>
    <row r="96" customFormat="false" ht="15" hidden="false" customHeight="false" outlineLevel="0" collapsed="false">
      <c r="A96" s="6" t="n">
        <v>40</v>
      </c>
      <c r="B96" s="29" t="n">
        <v>46148</v>
      </c>
      <c r="C96" s="34" t="s">
        <v>336</v>
      </c>
      <c r="D96" s="6" t="s">
        <v>337</v>
      </c>
      <c r="E96" s="6" t="s">
        <v>426</v>
      </c>
      <c r="F96" s="18" t="n">
        <v>2411.23</v>
      </c>
      <c r="G96" s="18"/>
      <c r="H96" s="6" t="s">
        <v>361</v>
      </c>
      <c r="I96" s="6" t="s">
        <v>229</v>
      </c>
      <c r="J96" s="6" t="s">
        <v>425</v>
      </c>
      <c r="K96" s="18" t="n">
        <f aca="false">F96-G96</f>
        <v>2411.23</v>
      </c>
      <c r="L96" s="6" t="str">
        <f aca="false">INDEX('Plan de cuentas'!$C$5:$C$55,MATCH(C96,'Plan de cuentas'!$A$5:$A$55,0))</f>
        <v>PCV1</v>
      </c>
      <c r="M96" s="6" t="str">
        <f aca="false">INDEX('Plan de cuentas'!$D$5:$D$55,MATCH(C96,'Plan de cuentas'!$A$5:$A$55,0))</f>
        <v>-</v>
      </c>
    </row>
    <row r="97" customFormat="false" ht="15" hidden="false" customHeight="false" outlineLevel="0" collapsed="false">
      <c r="A97" s="6" t="n">
        <v>40</v>
      </c>
      <c r="B97" s="29" t="n">
        <v>46148</v>
      </c>
      <c r="C97" s="34" t="s">
        <v>308</v>
      </c>
      <c r="D97" s="6" t="s">
        <v>309</v>
      </c>
      <c r="E97" s="6" t="s">
        <v>426</v>
      </c>
      <c r="F97" s="18"/>
      <c r="G97" s="18" t="n">
        <v>2411.23</v>
      </c>
      <c r="H97" s="6" t="s">
        <v>361</v>
      </c>
      <c r="I97" s="6" t="s">
        <v>229</v>
      </c>
      <c r="J97" s="6" t="s">
        <v>425</v>
      </c>
      <c r="K97" s="18" t="n">
        <f aca="false">F97-G97</f>
        <v>-2411.23</v>
      </c>
      <c r="L97" s="6" t="str">
        <f aca="false">INDEX('Plan de cuentas'!$C$5:$C$55,MATCH(C97,'Plan de cuentas'!$A$5:$A$55,0))</f>
        <v>BVII</v>
      </c>
      <c r="M97" s="6" t="str">
        <f aca="false">INDEX('Plan de cuentas'!$D$5:$D$55,MATCH(C97,'Plan de cuentas'!$A$5:$A$55,0))</f>
        <v>-</v>
      </c>
    </row>
    <row r="98" customFormat="false" ht="15" hidden="false" customHeight="false" outlineLevel="0" collapsed="false">
      <c r="A98" s="6" t="n">
        <v>41</v>
      </c>
      <c r="B98" s="29" t="n">
        <v>46155</v>
      </c>
      <c r="C98" s="34" t="s">
        <v>329</v>
      </c>
      <c r="D98" s="6" t="s">
        <v>330</v>
      </c>
      <c r="E98" s="6" t="s">
        <v>427</v>
      </c>
      <c r="F98" s="18" t="n">
        <v>1010</v>
      </c>
      <c r="G98" s="18"/>
      <c r="H98" s="6" t="s">
        <v>334</v>
      </c>
      <c r="I98" s="6" t="s">
        <v>229</v>
      </c>
      <c r="J98" s="6" t="s">
        <v>428</v>
      </c>
      <c r="K98" s="18" t="n">
        <f aca="false">F98-G98</f>
        <v>1010</v>
      </c>
      <c r="L98" s="6" t="str">
        <f aca="false">INDEX('Plan de cuentas'!$C$5:$C$55,MATCH(C98,'Plan de cuentas'!$A$5:$A$55,0))</f>
        <v>AII1</v>
      </c>
      <c r="M98" s="6" t="str">
        <f aca="false">INDEX('Plan de cuentas'!$D$5:$D$55,MATCH(C98,'Plan de cuentas'!$A$5:$A$55,0))</f>
        <v>-</v>
      </c>
    </row>
    <row r="99" customFormat="false" ht="15" hidden="false" customHeight="false" outlineLevel="0" collapsed="false">
      <c r="A99" s="6" t="n">
        <v>41</v>
      </c>
      <c r="B99" s="29" t="n">
        <v>46155</v>
      </c>
      <c r="C99" s="34" t="s">
        <v>355</v>
      </c>
      <c r="D99" s="6" t="s">
        <v>356</v>
      </c>
      <c r="E99" s="6" t="s">
        <v>429</v>
      </c>
      <c r="F99" s="18" t="n">
        <v>212.1</v>
      </c>
      <c r="G99" s="18"/>
      <c r="H99" s="6" t="s">
        <v>334</v>
      </c>
      <c r="I99" s="6" t="s">
        <v>229</v>
      </c>
      <c r="J99" s="6" t="s">
        <v>428</v>
      </c>
      <c r="K99" s="18" t="n">
        <f aca="false">F99-G99</f>
        <v>212.1</v>
      </c>
      <c r="L99" s="6" t="str">
        <f aca="false">INDEX('Plan de cuentas'!$C$5:$C$55,MATCH(C99,'Plan de cuentas'!$A$5:$A$55,0))</f>
        <v>BIII2</v>
      </c>
      <c r="M99" s="6" t="str">
        <f aca="false">INDEX('Plan de cuentas'!$D$5:$D$55,MATCH(C99,'Plan de cuentas'!$A$5:$A$55,0))</f>
        <v>-</v>
      </c>
    </row>
    <row r="100" customFormat="false" ht="15" hidden="false" customHeight="false" outlineLevel="0" collapsed="false">
      <c r="A100" s="6" t="n">
        <v>41</v>
      </c>
      <c r="B100" s="29" t="n">
        <v>46155</v>
      </c>
      <c r="C100" s="34" t="s">
        <v>336</v>
      </c>
      <c r="D100" s="6" t="s">
        <v>337</v>
      </c>
      <c r="E100" s="6" t="s">
        <v>427</v>
      </c>
      <c r="F100" s="18"/>
      <c r="G100" s="18" t="n">
        <v>1222.1</v>
      </c>
      <c r="H100" s="6" t="s">
        <v>334</v>
      </c>
      <c r="I100" s="6" t="s">
        <v>229</v>
      </c>
      <c r="J100" s="6" t="s">
        <v>428</v>
      </c>
      <c r="K100" s="18" t="n">
        <f aca="false">F100-G100</f>
        <v>-1222.1</v>
      </c>
      <c r="L100" s="6" t="str">
        <f aca="false">INDEX('Plan de cuentas'!$C$5:$C$55,MATCH(C100,'Plan de cuentas'!$A$5:$A$55,0))</f>
        <v>PCV1</v>
      </c>
      <c r="M100" s="6" t="str">
        <f aca="false">INDEX('Plan de cuentas'!$D$5:$D$55,MATCH(C100,'Plan de cuentas'!$A$5:$A$55,0))</f>
        <v>-</v>
      </c>
    </row>
    <row r="101" customFormat="false" ht="15" hidden="false" customHeight="false" outlineLevel="0" collapsed="false">
      <c r="A101" s="6" t="n">
        <v>42</v>
      </c>
      <c r="B101" s="29" t="n">
        <v>46155</v>
      </c>
      <c r="C101" s="34" t="s">
        <v>190</v>
      </c>
      <c r="D101" s="6" t="s">
        <v>191</v>
      </c>
      <c r="E101" s="6" t="s">
        <v>430</v>
      </c>
      <c r="F101" s="18" t="n">
        <v>200</v>
      </c>
      <c r="G101" s="18"/>
      <c r="H101" s="6" t="s">
        <v>334</v>
      </c>
      <c r="I101" s="6" t="s">
        <v>229</v>
      </c>
      <c r="J101" s="6" t="s">
        <v>428</v>
      </c>
      <c r="K101" s="18" t="n">
        <f aca="false">F101-G101</f>
        <v>200</v>
      </c>
      <c r="L101" s="6" t="str">
        <f aca="false">INDEX('Plan de cuentas'!$C$5:$C$55,MATCH(C101,'Plan de cuentas'!$A$5:$A$55,0))</f>
        <v>PAVII</v>
      </c>
      <c r="M101" s="6" t="str">
        <f aca="false">INDEX('Plan de cuentas'!$D$5:$D$55,MATCH(C101,'Plan de cuentas'!$A$5:$A$55,0))</f>
        <v>P7a</v>
      </c>
    </row>
    <row r="102" customFormat="false" ht="15" hidden="false" customHeight="false" outlineLevel="0" collapsed="false">
      <c r="A102" s="6" t="n">
        <v>42</v>
      </c>
      <c r="B102" s="29" t="n">
        <v>46155</v>
      </c>
      <c r="C102" s="34" t="s">
        <v>355</v>
      </c>
      <c r="D102" s="6" t="s">
        <v>356</v>
      </c>
      <c r="E102" s="6" t="s">
        <v>429</v>
      </c>
      <c r="F102" s="18" t="n">
        <v>42</v>
      </c>
      <c r="G102" s="18"/>
      <c r="H102" s="6" t="s">
        <v>334</v>
      </c>
      <c r="I102" s="6" t="s">
        <v>229</v>
      </c>
      <c r="J102" s="6" t="s">
        <v>428</v>
      </c>
      <c r="K102" s="18" t="n">
        <f aca="false">F102-G102</f>
        <v>42</v>
      </c>
      <c r="L102" s="6" t="str">
        <f aca="false">INDEX('Plan de cuentas'!$C$5:$C$55,MATCH(C102,'Plan de cuentas'!$A$5:$A$55,0))</f>
        <v>BIII2</v>
      </c>
      <c r="M102" s="6" t="str">
        <f aca="false">INDEX('Plan de cuentas'!$D$5:$D$55,MATCH(C102,'Plan de cuentas'!$A$5:$A$55,0))</f>
        <v>-</v>
      </c>
    </row>
    <row r="103" customFormat="false" ht="15" hidden="false" customHeight="false" outlineLevel="0" collapsed="false">
      <c r="A103" s="6" t="n">
        <v>42</v>
      </c>
      <c r="B103" s="29" t="n">
        <v>46155</v>
      </c>
      <c r="C103" s="34" t="s">
        <v>336</v>
      </c>
      <c r="D103" s="6" t="s">
        <v>337</v>
      </c>
      <c r="E103" s="6" t="s">
        <v>430</v>
      </c>
      <c r="F103" s="18"/>
      <c r="G103" s="18" t="n">
        <v>242</v>
      </c>
      <c r="H103" s="6" t="s">
        <v>334</v>
      </c>
      <c r="I103" s="6" t="s">
        <v>229</v>
      </c>
      <c r="J103" s="6" t="s">
        <v>428</v>
      </c>
      <c r="K103" s="18" t="n">
        <f aca="false">F103-G103</f>
        <v>-242</v>
      </c>
      <c r="L103" s="6" t="str">
        <f aca="false">INDEX('Plan de cuentas'!$C$5:$C$55,MATCH(C103,'Plan de cuentas'!$A$5:$A$55,0))</f>
        <v>PCV1</v>
      </c>
      <c r="M103" s="6" t="str">
        <f aca="false">INDEX('Plan de cuentas'!$D$5:$D$55,MATCH(C103,'Plan de cuentas'!$A$5:$A$55,0))</f>
        <v>-</v>
      </c>
    </row>
    <row r="104" customFormat="false" ht="15" hidden="false" customHeight="false" outlineLevel="0" collapsed="false">
      <c r="A104" s="6" t="n">
        <v>43</v>
      </c>
      <c r="B104" s="29" t="n">
        <v>46155</v>
      </c>
      <c r="C104" s="34" t="s">
        <v>336</v>
      </c>
      <c r="D104" s="6" t="s">
        <v>337</v>
      </c>
      <c r="E104" s="6" t="s">
        <v>431</v>
      </c>
      <c r="F104" s="18" t="n">
        <v>1222.1</v>
      </c>
      <c r="G104" s="18"/>
      <c r="H104" s="6" t="s">
        <v>361</v>
      </c>
      <c r="I104" s="6" t="s">
        <v>229</v>
      </c>
      <c r="J104" s="6" t="s">
        <v>428</v>
      </c>
      <c r="K104" s="18" t="n">
        <f aca="false">F104-G104</f>
        <v>1222.1</v>
      </c>
      <c r="L104" s="6" t="str">
        <f aca="false">INDEX('Plan de cuentas'!$C$5:$C$55,MATCH(C104,'Plan de cuentas'!$A$5:$A$55,0))</f>
        <v>PCV1</v>
      </c>
      <c r="M104" s="6" t="str">
        <f aca="false">INDEX('Plan de cuentas'!$D$5:$D$55,MATCH(C104,'Plan de cuentas'!$A$5:$A$55,0))</f>
        <v>-</v>
      </c>
    </row>
    <row r="105" customFormat="false" ht="15" hidden="false" customHeight="false" outlineLevel="0" collapsed="false">
      <c r="A105" s="6" t="n">
        <v>43</v>
      </c>
      <c r="B105" s="29" t="n">
        <v>46155</v>
      </c>
      <c r="C105" s="34" t="s">
        <v>308</v>
      </c>
      <c r="D105" s="6" t="s">
        <v>309</v>
      </c>
      <c r="E105" s="6" t="s">
        <v>431</v>
      </c>
      <c r="F105" s="18"/>
      <c r="G105" s="18" t="n">
        <v>1222.1</v>
      </c>
      <c r="H105" s="6" t="s">
        <v>361</v>
      </c>
      <c r="I105" s="6" t="s">
        <v>229</v>
      </c>
      <c r="J105" s="6" t="s">
        <v>428</v>
      </c>
      <c r="K105" s="18" t="n">
        <f aca="false">F105-G105</f>
        <v>-1222.1</v>
      </c>
      <c r="L105" s="6" t="str">
        <f aca="false">INDEX('Plan de cuentas'!$C$5:$C$55,MATCH(C105,'Plan de cuentas'!$A$5:$A$55,0))</f>
        <v>BVII</v>
      </c>
      <c r="M105" s="6" t="str">
        <f aca="false">INDEX('Plan de cuentas'!$D$5:$D$55,MATCH(C105,'Plan de cuentas'!$A$5:$A$55,0))</f>
        <v>-</v>
      </c>
    </row>
    <row r="106" customFormat="false" ht="15" hidden="false" customHeight="false" outlineLevel="0" collapsed="false">
      <c r="A106" s="6" t="n">
        <v>44</v>
      </c>
      <c r="B106" s="29" t="n">
        <v>46155</v>
      </c>
      <c r="C106" s="34" t="s">
        <v>336</v>
      </c>
      <c r="D106" s="6" t="s">
        <v>337</v>
      </c>
      <c r="E106" s="6" t="s">
        <v>431</v>
      </c>
      <c r="F106" s="18" t="n">
        <v>242</v>
      </c>
      <c r="G106" s="18"/>
      <c r="H106" s="6" t="s">
        <v>361</v>
      </c>
      <c r="I106" s="6" t="s">
        <v>229</v>
      </c>
      <c r="J106" s="6" t="s">
        <v>428</v>
      </c>
      <c r="K106" s="18" t="n">
        <f aca="false">F106-G106</f>
        <v>242</v>
      </c>
      <c r="L106" s="6" t="str">
        <f aca="false">INDEX('Plan de cuentas'!$C$5:$C$55,MATCH(C106,'Plan de cuentas'!$A$5:$A$55,0))</f>
        <v>PCV1</v>
      </c>
      <c r="M106" s="6" t="str">
        <f aca="false">INDEX('Plan de cuentas'!$D$5:$D$55,MATCH(C106,'Plan de cuentas'!$A$5:$A$55,0))</f>
        <v>-</v>
      </c>
    </row>
    <row r="107" customFormat="false" ht="15" hidden="false" customHeight="false" outlineLevel="0" collapsed="false">
      <c r="A107" s="6" t="n">
        <v>44</v>
      </c>
      <c r="B107" s="29" t="n">
        <v>46155</v>
      </c>
      <c r="C107" s="34" t="s">
        <v>308</v>
      </c>
      <c r="D107" s="6" t="s">
        <v>309</v>
      </c>
      <c r="E107" s="6" t="s">
        <v>431</v>
      </c>
      <c r="F107" s="18"/>
      <c r="G107" s="18" t="n">
        <v>242</v>
      </c>
      <c r="H107" s="6" t="s">
        <v>361</v>
      </c>
      <c r="I107" s="6" t="s">
        <v>229</v>
      </c>
      <c r="J107" s="6" t="s">
        <v>428</v>
      </c>
      <c r="K107" s="18" t="n">
        <f aca="false">F107-G107</f>
        <v>-242</v>
      </c>
      <c r="L107" s="6" t="str">
        <f aca="false">INDEX('Plan de cuentas'!$C$5:$C$55,MATCH(C107,'Plan de cuentas'!$A$5:$A$55,0))</f>
        <v>BVII</v>
      </c>
      <c r="M107" s="6" t="str">
        <f aca="false">INDEX('Plan de cuentas'!$D$5:$D$55,MATCH(C107,'Plan de cuentas'!$A$5:$A$55,0))</f>
        <v>-</v>
      </c>
    </row>
    <row r="108" customFormat="false" ht="15" hidden="false" customHeight="false" outlineLevel="0" collapsed="false">
      <c r="A108" s="6" t="n">
        <v>45</v>
      </c>
      <c r="B108" s="29" t="n">
        <v>46156</v>
      </c>
      <c r="C108" s="34" t="s">
        <v>182</v>
      </c>
      <c r="D108" s="6" t="s">
        <v>183</v>
      </c>
      <c r="E108" s="6" t="s">
        <v>432</v>
      </c>
      <c r="F108" s="18" t="n">
        <v>46</v>
      </c>
      <c r="G108" s="18"/>
      <c r="H108" s="6" t="s">
        <v>334</v>
      </c>
      <c r="I108" s="6" t="s">
        <v>225</v>
      </c>
      <c r="J108" s="6" t="s">
        <v>433</v>
      </c>
      <c r="K108" s="18" t="n">
        <f aca="false">F108-G108</f>
        <v>46</v>
      </c>
      <c r="L108" s="6" t="str">
        <f aca="false">INDEX('Plan de cuentas'!$C$5:$C$55,MATCH(C108,'Plan de cuentas'!$A$5:$A$55,0))</f>
        <v>PAVII</v>
      </c>
      <c r="M108" s="6" t="str">
        <f aca="false">INDEX('Plan de cuentas'!$D$5:$D$55,MATCH(C108,'Plan de cuentas'!$A$5:$A$55,0))</f>
        <v>P7a</v>
      </c>
    </row>
    <row r="109" customFormat="false" ht="15" hidden="false" customHeight="false" outlineLevel="0" collapsed="false">
      <c r="A109" s="6" t="n">
        <v>45</v>
      </c>
      <c r="B109" s="29" t="n">
        <v>46156</v>
      </c>
      <c r="C109" s="34" t="s">
        <v>355</v>
      </c>
      <c r="D109" s="6" t="s">
        <v>356</v>
      </c>
      <c r="E109" s="6" t="s">
        <v>434</v>
      </c>
      <c r="F109" s="18" t="n">
        <v>9.66</v>
      </c>
      <c r="G109" s="18"/>
      <c r="H109" s="6" t="s">
        <v>334</v>
      </c>
      <c r="I109" s="6" t="s">
        <v>225</v>
      </c>
      <c r="J109" s="6" t="s">
        <v>433</v>
      </c>
      <c r="K109" s="18" t="n">
        <f aca="false">F109-G109</f>
        <v>9.66</v>
      </c>
      <c r="L109" s="6" t="str">
        <f aca="false">INDEX('Plan de cuentas'!$C$5:$C$55,MATCH(C109,'Plan de cuentas'!$A$5:$A$55,0))</f>
        <v>BIII2</v>
      </c>
      <c r="M109" s="6" t="str">
        <f aca="false">INDEX('Plan de cuentas'!$D$5:$D$55,MATCH(C109,'Plan de cuentas'!$A$5:$A$55,0))</f>
        <v>-</v>
      </c>
    </row>
    <row r="110" customFormat="false" ht="15" hidden="false" customHeight="false" outlineLevel="0" collapsed="false">
      <c r="A110" s="6" t="n">
        <v>45</v>
      </c>
      <c r="B110" s="29" t="n">
        <v>46156</v>
      </c>
      <c r="C110" s="34" t="s">
        <v>336</v>
      </c>
      <c r="D110" s="6" t="s">
        <v>337</v>
      </c>
      <c r="E110" s="6" t="s">
        <v>432</v>
      </c>
      <c r="F110" s="18"/>
      <c r="G110" s="18" t="n">
        <v>55.66</v>
      </c>
      <c r="H110" s="6" t="s">
        <v>334</v>
      </c>
      <c r="I110" s="6" t="s">
        <v>225</v>
      </c>
      <c r="J110" s="6" t="s">
        <v>433</v>
      </c>
      <c r="K110" s="18" t="n">
        <f aca="false">F110-G110</f>
        <v>-55.66</v>
      </c>
      <c r="L110" s="6" t="str">
        <f aca="false">INDEX('Plan de cuentas'!$C$5:$C$55,MATCH(C110,'Plan de cuentas'!$A$5:$A$55,0))</f>
        <v>PCV1</v>
      </c>
      <c r="M110" s="6" t="str">
        <f aca="false">INDEX('Plan de cuentas'!$D$5:$D$55,MATCH(C110,'Plan de cuentas'!$A$5:$A$55,0))</f>
        <v>-</v>
      </c>
    </row>
    <row r="111" customFormat="false" ht="15" hidden="false" customHeight="false" outlineLevel="0" collapsed="false">
      <c r="A111" s="6" t="n">
        <v>46</v>
      </c>
      <c r="B111" s="29" t="n">
        <v>46156</v>
      </c>
      <c r="C111" s="34" t="s">
        <v>188</v>
      </c>
      <c r="D111" s="6" t="s">
        <v>189</v>
      </c>
      <c r="E111" s="6" t="s">
        <v>435</v>
      </c>
      <c r="F111" s="18" t="n">
        <v>37.22</v>
      </c>
      <c r="G111" s="18"/>
      <c r="H111" s="6" t="s">
        <v>334</v>
      </c>
      <c r="I111" s="6" t="s">
        <v>225</v>
      </c>
      <c r="J111" s="6" t="s">
        <v>436</v>
      </c>
      <c r="K111" s="18" t="n">
        <f aca="false">F111-G111</f>
        <v>37.22</v>
      </c>
      <c r="L111" s="6" t="str">
        <f aca="false">INDEX('Plan de cuentas'!$C$5:$C$55,MATCH(C111,'Plan de cuentas'!$A$5:$A$55,0))</f>
        <v>PAVII</v>
      </c>
      <c r="M111" s="6" t="str">
        <f aca="false">INDEX('Plan de cuentas'!$D$5:$D$55,MATCH(C111,'Plan de cuentas'!$A$5:$A$55,0))</f>
        <v>P7a</v>
      </c>
    </row>
    <row r="112" customFormat="false" ht="15" hidden="false" customHeight="false" outlineLevel="0" collapsed="false">
      <c r="A112" s="6" t="n">
        <v>46</v>
      </c>
      <c r="B112" s="29" t="n">
        <v>46156</v>
      </c>
      <c r="C112" s="34" t="s">
        <v>355</v>
      </c>
      <c r="D112" s="6" t="s">
        <v>356</v>
      </c>
      <c r="E112" s="6" t="s">
        <v>437</v>
      </c>
      <c r="F112" s="18" t="n">
        <v>7.82</v>
      </c>
      <c r="G112" s="18"/>
      <c r="H112" s="6" t="s">
        <v>334</v>
      </c>
      <c r="I112" s="6" t="s">
        <v>225</v>
      </c>
      <c r="J112" s="6" t="s">
        <v>436</v>
      </c>
      <c r="K112" s="18" t="n">
        <f aca="false">F112-G112</f>
        <v>7.82</v>
      </c>
      <c r="L112" s="6" t="str">
        <f aca="false">INDEX('Plan de cuentas'!$C$5:$C$55,MATCH(C112,'Plan de cuentas'!$A$5:$A$55,0))</f>
        <v>BIII2</v>
      </c>
      <c r="M112" s="6" t="str">
        <f aca="false">INDEX('Plan de cuentas'!$D$5:$D$55,MATCH(C112,'Plan de cuentas'!$A$5:$A$55,0))</f>
        <v>-</v>
      </c>
    </row>
    <row r="113" customFormat="false" ht="15" hidden="false" customHeight="false" outlineLevel="0" collapsed="false">
      <c r="A113" s="6" t="n">
        <v>46</v>
      </c>
      <c r="B113" s="29" t="n">
        <v>46156</v>
      </c>
      <c r="C113" s="34" t="s">
        <v>336</v>
      </c>
      <c r="D113" s="6" t="s">
        <v>337</v>
      </c>
      <c r="E113" s="6" t="s">
        <v>435</v>
      </c>
      <c r="F113" s="18"/>
      <c r="G113" s="18" t="n">
        <v>45.04</v>
      </c>
      <c r="H113" s="6" t="s">
        <v>334</v>
      </c>
      <c r="I113" s="6" t="s">
        <v>225</v>
      </c>
      <c r="J113" s="6" t="s">
        <v>436</v>
      </c>
      <c r="K113" s="18" t="n">
        <f aca="false">F113-G113</f>
        <v>-45.04</v>
      </c>
      <c r="L113" s="6" t="str">
        <f aca="false">INDEX('Plan de cuentas'!$C$5:$C$55,MATCH(C113,'Plan de cuentas'!$A$5:$A$55,0))</f>
        <v>PCV1</v>
      </c>
      <c r="M113" s="6" t="str">
        <f aca="false">INDEX('Plan de cuentas'!$D$5:$D$55,MATCH(C113,'Plan de cuentas'!$A$5:$A$55,0))</f>
        <v>-</v>
      </c>
    </row>
    <row r="114" customFormat="false" ht="15" hidden="false" customHeight="false" outlineLevel="0" collapsed="false">
      <c r="A114" s="6" t="n">
        <v>47</v>
      </c>
      <c r="B114" s="29" t="n">
        <v>46156</v>
      </c>
      <c r="C114" s="34" t="s">
        <v>336</v>
      </c>
      <c r="D114" s="6" t="s">
        <v>337</v>
      </c>
      <c r="E114" s="6" t="s">
        <v>438</v>
      </c>
      <c r="F114" s="18" t="n">
        <v>55.66</v>
      </c>
      <c r="G114" s="18"/>
      <c r="H114" s="6" t="s">
        <v>361</v>
      </c>
      <c r="I114" s="6" t="s">
        <v>225</v>
      </c>
      <c r="J114" s="6" t="s">
        <v>433</v>
      </c>
      <c r="K114" s="18" t="n">
        <f aca="false">F114-G114</f>
        <v>55.66</v>
      </c>
      <c r="L114" s="6" t="str">
        <f aca="false">INDEX('Plan de cuentas'!$C$5:$C$55,MATCH(C114,'Plan de cuentas'!$A$5:$A$55,0))</f>
        <v>PCV1</v>
      </c>
      <c r="M114" s="6" t="str">
        <f aca="false">INDEX('Plan de cuentas'!$D$5:$D$55,MATCH(C114,'Plan de cuentas'!$A$5:$A$55,0))</f>
        <v>-</v>
      </c>
    </row>
    <row r="115" customFormat="false" ht="15" hidden="false" customHeight="false" outlineLevel="0" collapsed="false">
      <c r="A115" s="6" t="n">
        <v>47</v>
      </c>
      <c r="B115" s="29" t="n">
        <v>46156</v>
      </c>
      <c r="C115" s="34" t="s">
        <v>308</v>
      </c>
      <c r="D115" s="6" t="s">
        <v>309</v>
      </c>
      <c r="E115" s="6" t="s">
        <v>438</v>
      </c>
      <c r="F115" s="18"/>
      <c r="G115" s="18" t="n">
        <v>55.66</v>
      </c>
      <c r="H115" s="6" t="s">
        <v>361</v>
      </c>
      <c r="I115" s="6" t="s">
        <v>225</v>
      </c>
      <c r="J115" s="6" t="s">
        <v>433</v>
      </c>
      <c r="K115" s="18" t="n">
        <f aca="false">F115-G115</f>
        <v>-55.66</v>
      </c>
      <c r="L115" s="6" t="str">
        <f aca="false">INDEX('Plan de cuentas'!$C$5:$C$55,MATCH(C115,'Plan de cuentas'!$A$5:$A$55,0))</f>
        <v>BVII</v>
      </c>
      <c r="M115" s="6" t="str">
        <f aca="false">INDEX('Plan de cuentas'!$D$5:$D$55,MATCH(C115,'Plan de cuentas'!$A$5:$A$55,0))</f>
        <v>-</v>
      </c>
    </row>
    <row r="116" customFormat="false" ht="15" hidden="false" customHeight="false" outlineLevel="0" collapsed="false">
      <c r="A116" s="6" t="n">
        <v>48</v>
      </c>
      <c r="B116" s="29" t="n">
        <v>46156</v>
      </c>
      <c r="C116" s="34" t="s">
        <v>336</v>
      </c>
      <c r="D116" s="6" t="s">
        <v>337</v>
      </c>
      <c r="E116" s="6" t="s">
        <v>439</v>
      </c>
      <c r="F116" s="18" t="n">
        <v>45.04</v>
      </c>
      <c r="G116" s="18"/>
      <c r="H116" s="6" t="s">
        <v>361</v>
      </c>
      <c r="I116" s="6" t="s">
        <v>225</v>
      </c>
      <c r="J116" s="6" t="s">
        <v>436</v>
      </c>
      <c r="K116" s="18" t="n">
        <f aca="false">F116-G116</f>
        <v>45.04</v>
      </c>
      <c r="L116" s="6" t="str">
        <f aca="false">INDEX('Plan de cuentas'!$C$5:$C$55,MATCH(C116,'Plan de cuentas'!$A$5:$A$55,0))</f>
        <v>PCV1</v>
      </c>
      <c r="M116" s="6" t="str">
        <f aca="false">INDEX('Plan de cuentas'!$D$5:$D$55,MATCH(C116,'Plan de cuentas'!$A$5:$A$55,0))</f>
        <v>-</v>
      </c>
    </row>
    <row r="117" customFormat="false" ht="15" hidden="false" customHeight="false" outlineLevel="0" collapsed="false">
      <c r="A117" s="6" t="n">
        <v>48</v>
      </c>
      <c r="B117" s="29" t="n">
        <v>46156</v>
      </c>
      <c r="C117" s="34" t="s">
        <v>308</v>
      </c>
      <c r="D117" s="6" t="s">
        <v>309</v>
      </c>
      <c r="E117" s="6" t="s">
        <v>439</v>
      </c>
      <c r="F117" s="18"/>
      <c r="G117" s="18" t="n">
        <v>45.04</v>
      </c>
      <c r="H117" s="6" t="s">
        <v>361</v>
      </c>
      <c r="I117" s="6" t="s">
        <v>225</v>
      </c>
      <c r="J117" s="6" t="s">
        <v>436</v>
      </c>
      <c r="K117" s="18" t="n">
        <f aca="false">F117-G117</f>
        <v>-45.04</v>
      </c>
      <c r="L117" s="6" t="str">
        <f aca="false">INDEX('Plan de cuentas'!$C$5:$C$55,MATCH(C117,'Plan de cuentas'!$A$5:$A$55,0))</f>
        <v>BVII</v>
      </c>
      <c r="M117" s="6" t="str">
        <f aca="false">INDEX('Plan de cuentas'!$D$5:$D$55,MATCH(C117,'Plan de cuentas'!$A$5:$A$55,0))</f>
        <v>-</v>
      </c>
    </row>
    <row r="118" customFormat="false" ht="15" hidden="false" customHeight="false" outlineLevel="0" collapsed="false">
      <c r="A118" s="6" t="n">
        <v>49</v>
      </c>
      <c r="B118" s="29" t="n">
        <v>46157</v>
      </c>
      <c r="C118" s="34" t="s">
        <v>188</v>
      </c>
      <c r="D118" s="6" t="s">
        <v>189</v>
      </c>
      <c r="E118" s="6" t="s">
        <v>440</v>
      </c>
      <c r="F118" s="18" t="n">
        <v>54.31</v>
      </c>
      <c r="G118" s="18"/>
      <c r="H118" s="6" t="s">
        <v>334</v>
      </c>
      <c r="I118" s="6"/>
      <c r="J118" s="6" t="s">
        <v>441</v>
      </c>
      <c r="K118" s="18" t="n">
        <f aca="false">F118-G118</f>
        <v>54.31</v>
      </c>
      <c r="L118" s="6" t="str">
        <f aca="false">INDEX('Plan de cuentas'!$C$5:$C$55,MATCH(C118,'Plan de cuentas'!$A$5:$A$55,0))</f>
        <v>PAVII</v>
      </c>
      <c r="M118" s="6" t="str">
        <f aca="false">INDEX('Plan de cuentas'!$D$5:$D$55,MATCH(C118,'Plan de cuentas'!$A$5:$A$55,0))</f>
        <v>P7a</v>
      </c>
    </row>
    <row r="119" customFormat="false" ht="15" hidden="false" customHeight="false" outlineLevel="0" collapsed="false">
      <c r="A119" s="6" t="n">
        <v>49</v>
      </c>
      <c r="B119" s="29" t="n">
        <v>46157</v>
      </c>
      <c r="C119" s="34" t="s">
        <v>355</v>
      </c>
      <c r="D119" s="6" t="s">
        <v>356</v>
      </c>
      <c r="E119" s="6" t="s">
        <v>442</v>
      </c>
      <c r="F119" s="18" t="n">
        <v>11.41</v>
      </c>
      <c r="G119" s="18"/>
      <c r="H119" s="6" t="s">
        <v>334</v>
      </c>
      <c r="I119" s="6"/>
      <c r="J119" s="6" t="s">
        <v>441</v>
      </c>
      <c r="K119" s="18" t="n">
        <f aca="false">F119-G119</f>
        <v>11.41</v>
      </c>
      <c r="L119" s="6" t="str">
        <f aca="false">INDEX('Plan de cuentas'!$C$5:$C$55,MATCH(C119,'Plan de cuentas'!$A$5:$A$55,0))</f>
        <v>BIII2</v>
      </c>
      <c r="M119" s="6" t="str">
        <f aca="false">INDEX('Plan de cuentas'!$D$5:$D$55,MATCH(C119,'Plan de cuentas'!$A$5:$A$55,0))</f>
        <v>-</v>
      </c>
    </row>
    <row r="120" customFormat="false" ht="15" hidden="false" customHeight="false" outlineLevel="0" collapsed="false">
      <c r="A120" s="6" t="n">
        <v>49</v>
      </c>
      <c r="B120" s="29" t="n">
        <v>46157</v>
      </c>
      <c r="C120" s="34" t="s">
        <v>336</v>
      </c>
      <c r="D120" s="6" t="s">
        <v>337</v>
      </c>
      <c r="E120" s="6" t="s">
        <v>440</v>
      </c>
      <c r="F120" s="18"/>
      <c r="G120" s="18" t="n">
        <v>65.72</v>
      </c>
      <c r="H120" s="6" t="s">
        <v>334</v>
      </c>
      <c r="I120" s="6"/>
      <c r="J120" s="6" t="s">
        <v>441</v>
      </c>
      <c r="K120" s="18" t="n">
        <f aca="false">F120-G120</f>
        <v>-65.72</v>
      </c>
      <c r="L120" s="6" t="str">
        <f aca="false">INDEX('Plan de cuentas'!$C$5:$C$55,MATCH(C120,'Plan de cuentas'!$A$5:$A$55,0))</f>
        <v>PCV1</v>
      </c>
      <c r="M120" s="6" t="str">
        <f aca="false">INDEX('Plan de cuentas'!$D$5:$D$55,MATCH(C120,'Plan de cuentas'!$A$5:$A$55,0))</f>
        <v>-</v>
      </c>
    </row>
    <row r="121" customFormat="false" ht="15" hidden="false" customHeight="false" outlineLevel="0" collapsed="false">
      <c r="A121" s="6" t="n">
        <v>50</v>
      </c>
      <c r="B121" s="29" t="n">
        <v>46157</v>
      </c>
      <c r="C121" s="34" t="s">
        <v>329</v>
      </c>
      <c r="D121" s="6" t="s">
        <v>330</v>
      </c>
      <c r="E121" s="6" t="s">
        <v>443</v>
      </c>
      <c r="F121" s="18" t="n">
        <v>25</v>
      </c>
      <c r="G121" s="18"/>
      <c r="H121" s="6" t="s">
        <v>334</v>
      </c>
      <c r="I121" s="6" t="s">
        <v>229</v>
      </c>
      <c r="J121" s="6" t="s">
        <v>444</v>
      </c>
      <c r="K121" s="18" t="n">
        <f aca="false">F121-G121</f>
        <v>25</v>
      </c>
      <c r="L121" s="6" t="str">
        <f aca="false">INDEX('Plan de cuentas'!$C$5:$C$55,MATCH(C121,'Plan de cuentas'!$A$5:$A$55,0))</f>
        <v>AII1</v>
      </c>
      <c r="M121" s="6" t="str">
        <f aca="false">INDEX('Plan de cuentas'!$D$5:$D$55,MATCH(C121,'Plan de cuentas'!$A$5:$A$55,0))</f>
        <v>-</v>
      </c>
    </row>
    <row r="122" customFormat="false" ht="15" hidden="false" customHeight="false" outlineLevel="0" collapsed="false">
      <c r="A122" s="6" t="n">
        <v>50</v>
      </c>
      <c r="B122" s="29" t="n">
        <v>46157</v>
      </c>
      <c r="C122" s="34" t="s">
        <v>355</v>
      </c>
      <c r="D122" s="6" t="s">
        <v>356</v>
      </c>
      <c r="E122" s="6" t="s">
        <v>445</v>
      </c>
      <c r="F122" s="18" t="n">
        <v>5.25</v>
      </c>
      <c r="G122" s="18"/>
      <c r="H122" s="6" t="s">
        <v>334</v>
      </c>
      <c r="I122" s="6" t="s">
        <v>229</v>
      </c>
      <c r="J122" s="6" t="s">
        <v>444</v>
      </c>
      <c r="K122" s="18" t="n">
        <f aca="false">F122-G122</f>
        <v>5.25</v>
      </c>
      <c r="L122" s="6" t="str">
        <f aca="false">INDEX('Plan de cuentas'!$C$5:$C$55,MATCH(C122,'Plan de cuentas'!$A$5:$A$55,0))</f>
        <v>BIII2</v>
      </c>
      <c r="M122" s="6" t="str">
        <f aca="false">INDEX('Plan de cuentas'!$D$5:$D$55,MATCH(C122,'Plan de cuentas'!$A$5:$A$55,0))</f>
        <v>-</v>
      </c>
    </row>
    <row r="123" customFormat="false" ht="15" hidden="false" customHeight="false" outlineLevel="0" collapsed="false">
      <c r="A123" s="6" t="n">
        <v>50</v>
      </c>
      <c r="B123" s="29" t="n">
        <v>46157</v>
      </c>
      <c r="C123" s="34" t="s">
        <v>336</v>
      </c>
      <c r="D123" s="6" t="s">
        <v>337</v>
      </c>
      <c r="E123" s="6" t="s">
        <v>443</v>
      </c>
      <c r="F123" s="18"/>
      <c r="G123" s="18" t="n">
        <v>30.25</v>
      </c>
      <c r="H123" s="6" t="s">
        <v>334</v>
      </c>
      <c r="I123" s="6" t="s">
        <v>229</v>
      </c>
      <c r="J123" s="6" t="s">
        <v>444</v>
      </c>
      <c r="K123" s="18" t="n">
        <f aca="false">F123-G123</f>
        <v>-30.25</v>
      </c>
      <c r="L123" s="6" t="str">
        <f aca="false">INDEX('Plan de cuentas'!$C$5:$C$55,MATCH(C123,'Plan de cuentas'!$A$5:$A$55,0))</f>
        <v>PCV1</v>
      </c>
      <c r="M123" s="6" t="str">
        <f aca="false">INDEX('Plan de cuentas'!$D$5:$D$55,MATCH(C123,'Plan de cuentas'!$A$5:$A$55,0))</f>
        <v>-</v>
      </c>
    </row>
    <row r="124" customFormat="false" ht="15" hidden="false" customHeight="false" outlineLevel="0" collapsed="false">
      <c r="A124" s="6" t="n">
        <v>51</v>
      </c>
      <c r="B124" s="29" t="n">
        <v>46157</v>
      </c>
      <c r="C124" s="34" t="s">
        <v>336</v>
      </c>
      <c r="D124" s="6" t="s">
        <v>337</v>
      </c>
      <c r="E124" s="6" t="s">
        <v>446</v>
      </c>
      <c r="F124" s="18" t="n">
        <v>65.72</v>
      </c>
      <c r="G124" s="18"/>
      <c r="H124" s="6" t="s">
        <v>361</v>
      </c>
      <c r="I124" s="6"/>
      <c r="J124" s="6" t="s">
        <v>441</v>
      </c>
      <c r="K124" s="18" t="n">
        <f aca="false">F124-G124</f>
        <v>65.72</v>
      </c>
      <c r="L124" s="6" t="str">
        <f aca="false">INDEX('Plan de cuentas'!$C$5:$C$55,MATCH(C124,'Plan de cuentas'!$A$5:$A$55,0))</f>
        <v>PCV1</v>
      </c>
      <c r="M124" s="6" t="str">
        <f aca="false">INDEX('Plan de cuentas'!$D$5:$D$55,MATCH(C124,'Plan de cuentas'!$A$5:$A$55,0))</f>
        <v>-</v>
      </c>
    </row>
    <row r="125" customFormat="false" ht="15" hidden="false" customHeight="false" outlineLevel="0" collapsed="false">
      <c r="A125" s="6" t="n">
        <v>51</v>
      </c>
      <c r="B125" s="29" t="n">
        <v>46157</v>
      </c>
      <c r="C125" s="34" t="s">
        <v>308</v>
      </c>
      <c r="D125" s="6" t="s">
        <v>309</v>
      </c>
      <c r="E125" s="6" t="s">
        <v>446</v>
      </c>
      <c r="F125" s="18"/>
      <c r="G125" s="18" t="n">
        <v>65.72</v>
      </c>
      <c r="H125" s="6" t="s">
        <v>361</v>
      </c>
      <c r="I125" s="6"/>
      <c r="J125" s="6" t="s">
        <v>441</v>
      </c>
      <c r="K125" s="18" t="n">
        <f aca="false">F125-G125</f>
        <v>-65.72</v>
      </c>
      <c r="L125" s="6" t="str">
        <f aca="false">INDEX('Plan de cuentas'!$C$5:$C$55,MATCH(C125,'Plan de cuentas'!$A$5:$A$55,0))</f>
        <v>BVII</v>
      </c>
      <c r="M125" s="6" t="str">
        <f aca="false">INDEX('Plan de cuentas'!$D$5:$D$55,MATCH(C125,'Plan de cuentas'!$A$5:$A$55,0))</f>
        <v>-</v>
      </c>
    </row>
    <row r="126" customFormat="false" ht="15" hidden="false" customHeight="false" outlineLevel="0" collapsed="false">
      <c r="A126" s="6" t="n">
        <v>52</v>
      </c>
      <c r="B126" s="29" t="n">
        <v>46157</v>
      </c>
      <c r="C126" s="34" t="s">
        <v>336</v>
      </c>
      <c r="D126" s="6" t="s">
        <v>337</v>
      </c>
      <c r="E126" s="6" t="s">
        <v>447</v>
      </c>
      <c r="F126" s="18" t="n">
        <v>30.25</v>
      </c>
      <c r="G126" s="18"/>
      <c r="H126" s="6" t="s">
        <v>361</v>
      </c>
      <c r="I126" s="6" t="s">
        <v>229</v>
      </c>
      <c r="J126" s="6" t="s">
        <v>444</v>
      </c>
      <c r="K126" s="18" t="n">
        <f aca="false">F126-G126</f>
        <v>30.25</v>
      </c>
      <c r="L126" s="6" t="str">
        <f aca="false">INDEX('Plan de cuentas'!$C$5:$C$55,MATCH(C126,'Plan de cuentas'!$A$5:$A$55,0))</f>
        <v>PCV1</v>
      </c>
      <c r="M126" s="6" t="str">
        <f aca="false">INDEX('Plan de cuentas'!$D$5:$D$55,MATCH(C126,'Plan de cuentas'!$A$5:$A$55,0))</f>
        <v>-</v>
      </c>
    </row>
    <row r="127" customFormat="false" ht="15" hidden="false" customHeight="false" outlineLevel="0" collapsed="false">
      <c r="A127" s="6" t="n">
        <v>52</v>
      </c>
      <c r="B127" s="29" t="n">
        <v>46157</v>
      </c>
      <c r="C127" s="34" t="s">
        <v>308</v>
      </c>
      <c r="D127" s="6" t="s">
        <v>309</v>
      </c>
      <c r="E127" s="6" t="s">
        <v>447</v>
      </c>
      <c r="F127" s="18"/>
      <c r="G127" s="18" t="n">
        <v>30.25</v>
      </c>
      <c r="H127" s="6" t="s">
        <v>361</v>
      </c>
      <c r="I127" s="6" t="s">
        <v>229</v>
      </c>
      <c r="J127" s="6" t="s">
        <v>444</v>
      </c>
      <c r="K127" s="18" t="n">
        <f aca="false">F127-G127</f>
        <v>-30.25</v>
      </c>
      <c r="L127" s="6" t="str">
        <f aca="false">INDEX('Plan de cuentas'!$C$5:$C$55,MATCH(C127,'Plan de cuentas'!$A$5:$A$55,0))</f>
        <v>BVII</v>
      </c>
      <c r="M127" s="6" t="str">
        <f aca="false">INDEX('Plan de cuentas'!$D$5:$D$55,MATCH(C127,'Plan de cuentas'!$A$5:$A$55,0))</f>
        <v>-</v>
      </c>
    </row>
    <row r="128" customFormat="false" ht="15" hidden="false" customHeight="false" outlineLevel="0" collapsed="false">
      <c r="A128" s="6" t="n">
        <v>53</v>
      </c>
      <c r="B128" s="29" t="n">
        <v>46162</v>
      </c>
      <c r="C128" s="34" t="s">
        <v>182</v>
      </c>
      <c r="D128" s="6" t="s">
        <v>183</v>
      </c>
      <c r="E128" s="6" t="s">
        <v>448</v>
      </c>
      <c r="F128" s="18" t="n">
        <v>65</v>
      </c>
      <c r="G128" s="18"/>
      <c r="H128" s="6" t="s">
        <v>334</v>
      </c>
      <c r="I128" s="6" t="s">
        <v>229</v>
      </c>
      <c r="J128" s="6" t="s">
        <v>449</v>
      </c>
      <c r="K128" s="18" t="n">
        <f aca="false">F128-G128</f>
        <v>65</v>
      </c>
      <c r="L128" s="6" t="str">
        <f aca="false">INDEX('Plan de cuentas'!$C$5:$C$55,MATCH(C128,'Plan de cuentas'!$A$5:$A$55,0))</f>
        <v>PAVII</v>
      </c>
      <c r="M128" s="6" t="str">
        <f aca="false">INDEX('Plan de cuentas'!$D$5:$D$55,MATCH(C128,'Plan de cuentas'!$A$5:$A$55,0))</f>
        <v>P7a</v>
      </c>
    </row>
    <row r="129" customFormat="false" ht="15" hidden="false" customHeight="false" outlineLevel="0" collapsed="false">
      <c r="A129" s="6" t="n">
        <v>53</v>
      </c>
      <c r="B129" s="29" t="n">
        <v>46162</v>
      </c>
      <c r="C129" s="34" t="s">
        <v>355</v>
      </c>
      <c r="D129" s="6" t="s">
        <v>356</v>
      </c>
      <c r="E129" s="6" t="s">
        <v>450</v>
      </c>
      <c r="F129" s="18" t="n">
        <v>13.65</v>
      </c>
      <c r="G129" s="18"/>
      <c r="H129" s="6" t="s">
        <v>334</v>
      </c>
      <c r="I129" s="6" t="s">
        <v>229</v>
      </c>
      <c r="J129" s="6" t="s">
        <v>449</v>
      </c>
      <c r="K129" s="18" t="n">
        <f aca="false">F129-G129</f>
        <v>13.65</v>
      </c>
      <c r="L129" s="6" t="str">
        <f aca="false">INDEX('Plan de cuentas'!$C$5:$C$55,MATCH(C129,'Plan de cuentas'!$A$5:$A$55,0))</f>
        <v>BIII2</v>
      </c>
      <c r="M129" s="6" t="str">
        <f aca="false">INDEX('Plan de cuentas'!$D$5:$D$55,MATCH(C129,'Plan de cuentas'!$A$5:$A$55,0))</f>
        <v>-</v>
      </c>
    </row>
    <row r="130" customFormat="false" ht="15" hidden="false" customHeight="false" outlineLevel="0" collapsed="false">
      <c r="A130" s="6" t="n">
        <v>53</v>
      </c>
      <c r="B130" s="29" t="n">
        <v>46162</v>
      </c>
      <c r="C130" s="34" t="s">
        <v>336</v>
      </c>
      <c r="D130" s="6" t="s">
        <v>337</v>
      </c>
      <c r="E130" s="6" t="s">
        <v>448</v>
      </c>
      <c r="F130" s="18"/>
      <c r="G130" s="18" t="n">
        <v>78.65</v>
      </c>
      <c r="H130" s="6" t="s">
        <v>334</v>
      </c>
      <c r="I130" s="6" t="s">
        <v>229</v>
      </c>
      <c r="J130" s="6" t="s">
        <v>449</v>
      </c>
      <c r="K130" s="18" t="n">
        <f aca="false">F130-G130</f>
        <v>-78.65</v>
      </c>
      <c r="L130" s="6" t="str">
        <f aca="false">INDEX('Plan de cuentas'!$C$5:$C$55,MATCH(C130,'Plan de cuentas'!$A$5:$A$55,0))</f>
        <v>PCV1</v>
      </c>
      <c r="M130" s="6" t="str">
        <f aca="false">INDEX('Plan de cuentas'!$D$5:$D$55,MATCH(C130,'Plan de cuentas'!$A$5:$A$55,0))</f>
        <v>-</v>
      </c>
    </row>
    <row r="131" customFormat="false" ht="15" hidden="false" customHeight="false" outlineLevel="0" collapsed="false">
      <c r="A131" s="6" t="n">
        <v>54</v>
      </c>
      <c r="B131" s="29" t="n">
        <v>46162</v>
      </c>
      <c r="C131" s="34" t="s">
        <v>329</v>
      </c>
      <c r="D131" s="6" t="s">
        <v>330</v>
      </c>
      <c r="E131" s="6" t="s">
        <v>451</v>
      </c>
      <c r="F131" s="18" t="n">
        <v>50</v>
      </c>
      <c r="G131" s="18"/>
      <c r="H131" s="6" t="s">
        <v>334</v>
      </c>
      <c r="I131" s="6" t="s">
        <v>229</v>
      </c>
      <c r="J131" s="6" t="s">
        <v>452</v>
      </c>
      <c r="K131" s="18" t="n">
        <f aca="false">F131-G131</f>
        <v>50</v>
      </c>
      <c r="L131" s="6" t="str">
        <f aca="false">INDEX('Plan de cuentas'!$C$5:$C$55,MATCH(C131,'Plan de cuentas'!$A$5:$A$55,0))</f>
        <v>AII1</v>
      </c>
      <c r="M131" s="6" t="str">
        <f aca="false">INDEX('Plan de cuentas'!$D$5:$D$55,MATCH(C131,'Plan de cuentas'!$A$5:$A$55,0))</f>
        <v>-</v>
      </c>
    </row>
    <row r="132" customFormat="false" ht="15" hidden="false" customHeight="false" outlineLevel="0" collapsed="false">
      <c r="A132" s="6" t="n">
        <v>54</v>
      </c>
      <c r="B132" s="29" t="n">
        <v>46162</v>
      </c>
      <c r="C132" s="34" t="s">
        <v>355</v>
      </c>
      <c r="D132" s="6" t="s">
        <v>356</v>
      </c>
      <c r="E132" s="6" t="s">
        <v>453</v>
      </c>
      <c r="F132" s="18" t="n">
        <v>10.5</v>
      </c>
      <c r="G132" s="18"/>
      <c r="H132" s="6" t="s">
        <v>334</v>
      </c>
      <c r="I132" s="6" t="s">
        <v>229</v>
      </c>
      <c r="J132" s="6" t="s">
        <v>452</v>
      </c>
      <c r="K132" s="18" t="n">
        <f aca="false">F132-G132</f>
        <v>10.5</v>
      </c>
      <c r="L132" s="6" t="str">
        <f aca="false">INDEX('Plan de cuentas'!$C$5:$C$55,MATCH(C132,'Plan de cuentas'!$A$5:$A$55,0))</f>
        <v>BIII2</v>
      </c>
      <c r="M132" s="6" t="str">
        <f aca="false">INDEX('Plan de cuentas'!$D$5:$D$55,MATCH(C132,'Plan de cuentas'!$A$5:$A$55,0))</f>
        <v>-</v>
      </c>
    </row>
    <row r="133" customFormat="false" ht="15" hidden="false" customHeight="false" outlineLevel="0" collapsed="false">
      <c r="A133" s="6" t="n">
        <v>54</v>
      </c>
      <c r="B133" s="29" t="n">
        <v>46162</v>
      </c>
      <c r="C133" s="34" t="s">
        <v>329</v>
      </c>
      <c r="D133" s="6" t="s">
        <v>330</v>
      </c>
      <c r="E133" s="6" t="s">
        <v>454</v>
      </c>
      <c r="F133" s="18" t="n">
        <v>12.5</v>
      </c>
      <c r="G133" s="18"/>
      <c r="H133" s="6" t="s">
        <v>334</v>
      </c>
      <c r="I133" s="6" t="s">
        <v>229</v>
      </c>
      <c r="J133" s="6" t="s">
        <v>452</v>
      </c>
      <c r="K133" s="18" t="n">
        <f aca="false">F133-G133</f>
        <v>12.5</v>
      </c>
      <c r="L133" s="6" t="str">
        <f aca="false">INDEX('Plan de cuentas'!$C$5:$C$55,MATCH(C133,'Plan de cuentas'!$A$5:$A$55,0))</f>
        <v>AII1</v>
      </c>
      <c r="M133" s="6" t="str">
        <f aca="false">INDEX('Plan de cuentas'!$D$5:$D$55,MATCH(C133,'Plan de cuentas'!$A$5:$A$55,0))</f>
        <v>-</v>
      </c>
    </row>
    <row r="134" customFormat="false" ht="15" hidden="false" customHeight="false" outlineLevel="0" collapsed="false">
      <c r="A134" s="6" t="n">
        <v>54</v>
      </c>
      <c r="B134" s="29" t="n">
        <v>46162</v>
      </c>
      <c r="C134" s="34" t="s">
        <v>455</v>
      </c>
      <c r="D134" s="6" t="s">
        <v>456</v>
      </c>
      <c r="E134" s="6" t="s">
        <v>457</v>
      </c>
      <c r="F134" s="18"/>
      <c r="G134" s="18" t="n">
        <v>7.5</v>
      </c>
      <c r="H134" s="6" t="s">
        <v>334</v>
      </c>
      <c r="I134" s="6" t="s">
        <v>229</v>
      </c>
      <c r="J134" s="6" t="s">
        <v>452</v>
      </c>
      <c r="K134" s="18" t="n">
        <f aca="false">F134-G134</f>
        <v>-7.5</v>
      </c>
      <c r="L134" s="6" t="str">
        <f aca="false">INDEX('Plan de cuentas'!$C$5:$C$55,MATCH(C134,'Plan de cuentas'!$A$5:$A$55,0))</f>
        <v>PCV2</v>
      </c>
      <c r="M134" s="6" t="str">
        <f aca="false">INDEX('Plan de cuentas'!$D$5:$D$55,MATCH(C134,'Plan de cuentas'!$A$5:$A$55,0))</f>
        <v>-</v>
      </c>
    </row>
    <row r="135" customFormat="false" ht="15" hidden="false" customHeight="false" outlineLevel="0" collapsed="false">
      <c r="A135" s="6" t="n">
        <v>54</v>
      </c>
      <c r="B135" s="29" t="n">
        <v>46162</v>
      </c>
      <c r="C135" s="34" t="s">
        <v>336</v>
      </c>
      <c r="D135" s="6" t="s">
        <v>337</v>
      </c>
      <c r="E135" s="6" t="s">
        <v>451</v>
      </c>
      <c r="F135" s="18"/>
      <c r="G135" s="18" t="n">
        <v>65.5</v>
      </c>
      <c r="H135" s="6" t="s">
        <v>334</v>
      </c>
      <c r="I135" s="6" t="s">
        <v>229</v>
      </c>
      <c r="J135" s="6" t="s">
        <v>452</v>
      </c>
      <c r="K135" s="18" t="n">
        <f aca="false">F135-G135</f>
        <v>-65.5</v>
      </c>
      <c r="L135" s="6" t="str">
        <f aca="false">INDEX('Plan de cuentas'!$C$5:$C$55,MATCH(C135,'Plan de cuentas'!$A$5:$A$55,0))</f>
        <v>PCV1</v>
      </c>
      <c r="M135" s="6" t="str">
        <f aca="false">INDEX('Plan de cuentas'!$D$5:$D$55,MATCH(C135,'Plan de cuentas'!$A$5:$A$55,0))</f>
        <v>-</v>
      </c>
    </row>
    <row r="136" customFormat="false" ht="15" hidden="false" customHeight="false" outlineLevel="0" collapsed="false">
      <c r="A136" s="6" t="n">
        <v>55</v>
      </c>
      <c r="B136" s="29" t="n">
        <v>46162</v>
      </c>
      <c r="C136" s="34" t="s">
        <v>192</v>
      </c>
      <c r="D136" s="6" t="s">
        <v>193</v>
      </c>
      <c r="E136" s="6" t="s">
        <v>458</v>
      </c>
      <c r="F136" s="18" t="n">
        <v>96.75</v>
      </c>
      <c r="G136" s="18"/>
      <c r="H136" s="6" t="s">
        <v>334</v>
      </c>
      <c r="I136" s="6" t="s">
        <v>229</v>
      </c>
      <c r="J136" s="6" t="s">
        <v>452</v>
      </c>
      <c r="K136" s="18" t="n">
        <f aca="false">F136-G136</f>
        <v>96.75</v>
      </c>
      <c r="L136" s="6" t="str">
        <f aca="false">INDEX('Plan de cuentas'!$C$5:$C$55,MATCH(C136,'Plan de cuentas'!$A$5:$A$55,0))</f>
        <v>PAVII</v>
      </c>
      <c r="M136" s="6" t="str">
        <f aca="false">INDEX('Plan de cuentas'!$D$5:$D$55,MATCH(C136,'Plan de cuentas'!$A$5:$A$55,0))</f>
        <v>P7b</v>
      </c>
    </row>
    <row r="137" customFormat="false" ht="15" hidden="false" customHeight="false" outlineLevel="0" collapsed="false">
      <c r="A137" s="6" t="n">
        <v>55</v>
      </c>
      <c r="B137" s="29" t="n">
        <v>46162</v>
      </c>
      <c r="C137" s="34" t="s">
        <v>336</v>
      </c>
      <c r="D137" s="6" t="s">
        <v>337</v>
      </c>
      <c r="E137" s="6" t="s">
        <v>459</v>
      </c>
      <c r="F137" s="18"/>
      <c r="G137" s="18" t="n">
        <v>96.75</v>
      </c>
      <c r="H137" s="6" t="s">
        <v>334</v>
      </c>
      <c r="I137" s="6" t="s">
        <v>229</v>
      </c>
      <c r="J137" s="6" t="s">
        <v>452</v>
      </c>
      <c r="K137" s="18" t="n">
        <f aca="false">F137-G137</f>
        <v>-96.75</v>
      </c>
      <c r="L137" s="6" t="str">
        <f aca="false">INDEX('Plan de cuentas'!$C$5:$C$55,MATCH(C137,'Plan de cuentas'!$A$5:$A$55,0))</f>
        <v>PCV1</v>
      </c>
      <c r="M137" s="6" t="str">
        <f aca="false">INDEX('Plan de cuentas'!$D$5:$D$55,MATCH(C137,'Plan de cuentas'!$A$5:$A$55,0))</f>
        <v>-</v>
      </c>
    </row>
    <row r="138" customFormat="false" ht="15" hidden="false" customHeight="false" outlineLevel="0" collapsed="false">
      <c r="A138" s="6" t="n">
        <v>56</v>
      </c>
      <c r="B138" s="29" t="n">
        <v>46162</v>
      </c>
      <c r="C138" s="34" t="s">
        <v>336</v>
      </c>
      <c r="D138" s="6" t="s">
        <v>337</v>
      </c>
      <c r="E138" s="6" t="s">
        <v>460</v>
      </c>
      <c r="F138" s="18" t="n">
        <v>78.65</v>
      </c>
      <c r="G138" s="18"/>
      <c r="H138" s="6" t="s">
        <v>361</v>
      </c>
      <c r="I138" s="6" t="s">
        <v>229</v>
      </c>
      <c r="J138" s="6" t="s">
        <v>449</v>
      </c>
      <c r="K138" s="18" t="n">
        <f aca="false">F138-G138</f>
        <v>78.65</v>
      </c>
      <c r="L138" s="6" t="str">
        <f aca="false">INDEX('Plan de cuentas'!$C$5:$C$55,MATCH(C138,'Plan de cuentas'!$A$5:$A$55,0))</f>
        <v>PCV1</v>
      </c>
      <c r="M138" s="6" t="str">
        <f aca="false">INDEX('Plan de cuentas'!$D$5:$D$55,MATCH(C138,'Plan de cuentas'!$A$5:$A$55,0))</f>
        <v>-</v>
      </c>
    </row>
    <row r="139" customFormat="false" ht="15" hidden="false" customHeight="false" outlineLevel="0" collapsed="false">
      <c r="A139" s="6" t="n">
        <v>56</v>
      </c>
      <c r="B139" s="29" t="n">
        <v>46162</v>
      </c>
      <c r="C139" s="34" t="s">
        <v>308</v>
      </c>
      <c r="D139" s="6" t="s">
        <v>309</v>
      </c>
      <c r="E139" s="6" t="s">
        <v>460</v>
      </c>
      <c r="F139" s="18"/>
      <c r="G139" s="18" t="n">
        <v>78.65</v>
      </c>
      <c r="H139" s="6" t="s">
        <v>361</v>
      </c>
      <c r="I139" s="6" t="s">
        <v>229</v>
      </c>
      <c r="J139" s="6" t="s">
        <v>449</v>
      </c>
      <c r="K139" s="18" t="n">
        <f aca="false">F139-G139</f>
        <v>-78.65</v>
      </c>
      <c r="L139" s="6" t="str">
        <f aca="false">INDEX('Plan de cuentas'!$C$5:$C$55,MATCH(C139,'Plan de cuentas'!$A$5:$A$55,0))</f>
        <v>BVII</v>
      </c>
      <c r="M139" s="6" t="str">
        <f aca="false">INDEX('Plan de cuentas'!$D$5:$D$55,MATCH(C139,'Plan de cuentas'!$A$5:$A$55,0))</f>
        <v>-</v>
      </c>
    </row>
    <row r="140" customFormat="false" ht="15" hidden="false" customHeight="false" outlineLevel="0" collapsed="false">
      <c r="A140" s="6" t="n">
        <v>57</v>
      </c>
      <c r="B140" s="29" t="n">
        <v>46162</v>
      </c>
      <c r="C140" s="34" t="s">
        <v>336</v>
      </c>
      <c r="D140" s="6" t="s">
        <v>337</v>
      </c>
      <c r="E140" s="6" t="s">
        <v>461</v>
      </c>
      <c r="F140" s="18" t="n">
        <v>65.5</v>
      </c>
      <c r="G140" s="18"/>
      <c r="H140" s="6" t="s">
        <v>361</v>
      </c>
      <c r="I140" s="6" t="s">
        <v>229</v>
      </c>
      <c r="J140" s="6" t="s">
        <v>452</v>
      </c>
      <c r="K140" s="18" t="n">
        <f aca="false">F140-G140</f>
        <v>65.5</v>
      </c>
      <c r="L140" s="6" t="str">
        <f aca="false">INDEX('Plan de cuentas'!$C$5:$C$55,MATCH(C140,'Plan de cuentas'!$A$5:$A$55,0))</f>
        <v>PCV1</v>
      </c>
      <c r="M140" s="6" t="str">
        <f aca="false">INDEX('Plan de cuentas'!$D$5:$D$55,MATCH(C140,'Plan de cuentas'!$A$5:$A$55,0))</f>
        <v>-</v>
      </c>
    </row>
    <row r="141" customFormat="false" ht="15" hidden="false" customHeight="false" outlineLevel="0" collapsed="false">
      <c r="A141" s="6" t="n">
        <v>57</v>
      </c>
      <c r="B141" s="29" t="n">
        <v>46162</v>
      </c>
      <c r="C141" s="34" t="s">
        <v>308</v>
      </c>
      <c r="D141" s="6" t="s">
        <v>309</v>
      </c>
      <c r="E141" s="6" t="s">
        <v>461</v>
      </c>
      <c r="F141" s="18"/>
      <c r="G141" s="18" t="n">
        <v>65.5</v>
      </c>
      <c r="H141" s="6" t="s">
        <v>361</v>
      </c>
      <c r="I141" s="6" t="s">
        <v>229</v>
      </c>
      <c r="J141" s="6" t="s">
        <v>452</v>
      </c>
      <c r="K141" s="18" t="n">
        <f aca="false">F141-G141</f>
        <v>-65.5</v>
      </c>
      <c r="L141" s="6" t="str">
        <f aca="false">INDEX('Plan de cuentas'!$C$5:$C$55,MATCH(C141,'Plan de cuentas'!$A$5:$A$55,0))</f>
        <v>BVII</v>
      </c>
      <c r="M141" s="6" t="str">
        <f aca="false">INDEX('Plan de cuentas'!$D$5:$D$55,MATCH(C141,'Plan de cuentas'!$A$5:$A$55,0))</f>
        <v>-</v>
      </c>
    </row>
    <row r="142" customFormat="false" ht="15" hidden="false" customHeight="false" outlineLevel="0" collapsed="false">
      <c r="A142" s="6" t="n">
        <v>58</v>
      </c>
      <c r="B142" s="29" t="n">
        <v>46162</v>
      </c>
      <c r="C142" s="34" t="s">
        <v>336</v>
      </c>
      <c r="D142" s="6" t="s">
        <v>337</v>
      </c>
      <c r="E142" s="6" t="s">
        <v>461</v>
      </c>
      <c r="F142" s="18" t="n">
        <v>96.75</v>
      </c>
      <c r="G142" s="18"/>
      <c r="H142" s="6" t="s">
        <v>361</v>
      </c>
      <c r="I142" s="6" t="s">
        <v>229</v>
      </c>
      <c r="J142" s="6" t="s">
        <v>452</v>
      </c>
      <c r="K142" s="18" t="n">
        <f aca="false">F142-G142</f>
        <v>96.75</v>
      </c>
      <c r="L142" s="6" t="str">
        <f aca="false">INDEX('Plan de cuentas'!$C$5:$C$55,MATCH(C142,'Plan de cuentas'!$A$5:$A$55,0))</f>
        <v>PCV1</v>
      </c>
      <c r="M142" s="6" t="str">
        <f aca="false">INDEX('Plan de cuentas'!$D$5:$D$55,MATCH(C142,'Plan de cuentas'!$A$5:$A$55,0))</f>
        <v>-</v>
      </c>
    </row>
    <row r="143" customFormat="false" ht="15" hidden="false" customHeight="false" outlineLevel="0" collapsed="false">
      <c r="A143" s="6" t="n">
        <v>58</v>
      </c>
      <c r="B143" s="29" t="n">
        <v>46162</v>
      </c>
      <c r="C143" s="34" t="s">
        <v>308</v>
      </c>
      <c r="D143" s="6" t="s">
        <v>309</v>
      </c>
      <c r="E143" s="6" t="s">
        <v>461</v>
      </c>
      <c r="F143" s="18"/>
      <c r="G143" s="18" t="n">
        <v>96.75</v>
      </c>
      <c r="H143" s="6" t="s">
        <v>361</v>
      </c>
      <c r="I143" s="6" t="s">
        <v>229</v>
      </c>
      <c r="J143" s="6" t="s">
        <v>452</v>
      </c>
      <c r="K143" s="18" t="n">
        <f aca="false">F143-G143</f>
        <v>-96.75</v>
      </c>
      <c r="L143" s="6" t="str">
        <f aca="false">INDEX('Plan de cuentas'!$C$5:$C$55,MATCH(C143,'Plan de cuentas'!$A$5:$A$55,0))</f>
        <v>BVII</v>
      </c>
      <c r="M143" s="6" t="str">
        <f aca="false">INDEX('Plan de cuentas'!$D$5:$D$55,MATCH(C143,'Plan de cuentas'!$A$5:$A$55,0))</f>
        <v>-</v>
      </c>
    </row>
    <row r="144" customFormat="false" ht="15" hidden="false" customHeight="false" outlineLevel="0" collapsed="false">
      <c r="A144" s="6" t="n">
        <v>59</v>
      </c>
      <c r="B144" s="29" t="n">
        <v>46167</v>
      </c>
      <c r="C144" s="34" t="s">
        <v>390</v>
      </c>
      <c r="D144" s="6" t="s">
        <v>391</v>
      </c>
      <c r="E144" s="6" t="s">
        <v>462</v>
      </c>
      <c r="F144" s="18" t="n">
        <v>94.5</v>
      </c>
      <c r="G144" s="18"/>
      <c r="H144" s="6" t="s">
        <v>393</v>
      </c>
      <c r="I144" s="6" t="s">
        <v>217</v>
      </c>
      <c r="J144" s="6" t="s">
        <v>463</v>
      </c>
      <c r="K144" s="18" t="n">
        <f aca="false">F144-G144</f>
        <v>94.5</v>
      </c>
      <c r="L144" s="6" t="str">
        <f aca="false">INDEX('Plan de cuentas'!$C$5:$C$55,MATCH(C144,'Plan de cuentas'!$A$5:$A$55,0))</f>
        <v>BIII1</v>
      </c>
      <c r="M144" s="6" t="str">
        <f aca="false">INDEX('Plan de cuentas'!$D$5:$D$55,MATCH(C144,'Plan de cuentas'!$A$5:$A$55,0))</f>
        <v>-</v>
      </c>
    </row>
    <row r="145" customFormat="false" ht="15" hidden="false" customHeight="false" outlineLevel="0" collapsed="false">
      <c r="A145" s="6" t="n">
        <v>59</v>
      </c>
      <c r="B145" s="29" t="n">
        <v>46167</v>
      </c>
      <c r="C145" s="34" t="s">
        <v>200</v>
      </c>
      <c r="D145" s="6" t="s">
        <v>201</v>
      </c>
      <c r="E145" s="6" t="s">
        <v>462</v>
      </c>
      <c r="F145" s="18"/>
      <c r="G145" s="18" t="n">
        <v>78.1</v>
      </c>
      <c r="H145" s="6" t="s">
        <v>393</v>
      </c>
      <c r="I145" s="6" t="s">
        <v>217</v>
      </c>
      <c r="J145" s="6" t="s">
        <v>463</v>
      </c>
      <c r="K145" s="18" t="n">
        <f aca="false">F145-G145</f>
        <v>-78.1</v>
      </c>
      <c r="L145" s="6" t="str">
        <f aca="false">INDEX('Plan de cuentas'!$C$5:$C$55,MATCH(C145,'Plan de cuentas'!$A$5:$A$55,0))</f>
        <v>PAVII</v>
      </c>
      <c r="M145" s="6" t="str">
        <f aca="false">INDEX('Plan de cuentas'!$D$5:$D$55,MATCH(C145,'Plan de cuentas'!$A$5:$A$55,0))</f>
        <v>P1</v>
      </c>
    </row>
    <row r="146" customFormat="false" ht="15" hidden="false" customHeight="false" outlineLevel="0" collapsed="false">
      <c r="A146" s="6" t="n">
        <v>59</v>
      </c>
      <c r="B146" s="29" t="n">
        <v>46167</v>
      </c>
      <c r="C146" s="34" t="s">
        <v>395</v>
      </c>
      <c r="D146" s="6" t="s">
        <v>396</v>
      </c>
      <c r="E146" s="6" t="s">
        <v>464</v>
      </c>
      <c r="F146" s="18"/>
      <c r="G146" s="18" t="n">
        <v>16.4</v>
      </c>
      <c r="H146" s="6" t="s">
        <v>393</v>
      </c>
      <c r="I146" s="6" t="s">
        <v>217</v>
      </c>
      <c r="J146" s="6" t="s">
        <v>463</v>
      </c>
      <c r="K146" s="18" t="n">
        <f aca="false">F146-G146</f>
        <v>-16.4</v>
      </c>
      <c r="L146" s="6" t="str">
        <f aca="false">INDEX('Plan de cuentas'!$C$5:$C$55,MATCH(C146,'Plan de cuentas'!$A$5:$A$55,0))</f>
        <v>PCV2</v>
      </c>
      <c r="M146" s="6" t="str">
        <f aca="false">INDEX('Plan de cuentas'!$D$5:$D$55,MATCH(C146,'Plan de cuentas'!$A$5:$A$55,0))</f>
        <v>-</v>
      </c>
    </row>
    <row r="147" customFormat="false" ht="15" hidden="false" customHeight="false" outlineLevel="0" collapsed="false">
      <c r="A147" s="6" t="n">
        <v>60</v>
      </c>
      <c r="B147" s="29" t="n">
        <v>46167</v>
      </c>
      <c r="C147" s="34" t="s">
        <v>308</v>
      </c>
      <c r="D147" s="6" t="s">
        <v>309</v>
      </c>
      <c r="E147" s="6" t="s">
        <v>465</v>
      </c>
      <c r="F147" s="18" t="n">
        <v>94.5</v>
      </c>
      <c r="G147" s="18"/>
      <c r="H147" s="6" t="s">
        <v>402</v>
      </c>
      <c r="I147" s="6" t="s">
        <v>217</v>
      </c>
      <c r="J147" s="6" t="s">
        <v>463</v>
      </c>
      <c r="K147" s="18" t="n">
        <f aca="false">F147-G147</f>
        <v>94.5</v>
      </c>
      <c r="L147" s="6" t="str">
        <f aca="false">INDEX('Plan de cuentas'!$C$5:$C$55,MATCH(C147,'Plan de cuentas'!$A$5:$A$55,0))</f>
        <v>BVII</v>
      </c>
      <c r="M147" s="6" t="str">
        <f aca="false">INDEX('Plan de cuentas'!$D$5:$D$55,MATCH(C147,'Plan de cuentas'!$A$5:$A$55,0))</f>
        <v>-</v>
      </c>
    </row>
    <row r="148" customFormat="false" ht="15" hidden="false" customHeight="false" outlineLevel="0" collapsed="false">
      <c r="A148" s="6" t="n">
        <v>60</v>
      </c>
      <c r="B148" s="29" t="n">
        <v>46167</v>
      </c>
      <c r="C148" s="34" t="s">
        <v>390</v>
      </c>
      <c r="D148" s="6" t="s">
        <v>391</v>
      </c>
      <c r="E148" s="6" t="s">
        <v>465</v>
      </c>
      <c r="F148" s="18"/>
      <c r="G148" s="18" t="n">
        <v>94.5</v>
      </c>
      <c r="H148" s="6" t="s">
        <v>402</v>
      </c>
      <c r="I148" s="6" t="s">
        <v>217</v>
      </c>
      <c r="J148" s="6" t="s">
        <v>463</v>
      </c>
      <c r="K148" s="18" t="n">
        <f aca="false">F148-G148</f>
        <v>-94.5</v>
      </c>
      <c r="L148" s="6" t="str">
        <f aca="false">INDEX('Plan de cuentas'!$C$5:$C$55,MATCH(C148,'Plan de cuentas'!$A$5:$A$55,0))</f>
        <v>BIII1</v>
      </c>
      <c r="M148" s="6" t="str">
        <f aca="false">INDEX('Plan de cuentas'!$D$5:$D$55,MATCH(C148,'Plan de cuentas'!$A$5:$A$55,0))</f>
        <v>-</v>
      </c>
    </row>
    <row r="149" customFormat="false" ht="15" hidden="false" customHeight="false" outlineLevel="0" collapsed="false">
      <c r="A149" s="6" t="n">
        <v>61</v>
      </c>
      <c r="B149" s="29" t="n">
        <v>46173</v>
      </c>
      <c r="C149" s="34" t="s">
        <v>198</v>
      </c>
      <c r="D149" s="6" t="s">
        <v>199</v>
      </c>
      <c r="E149" s="6" t="s">
        <v>377</v>
      </c>
      <c r="F149" s="18" t="n">
        <v>57.03</v>
      </c>
      <c r="G149" s="18"/>
      <c r="H149" s="6" t="s">
        <v>341</v>
      </c>
      <c r="I149" s="6" t="s">
        <v>217</v>
      </c>
      <c r="J149" s="6" t="s">
        <v>466</v>
      </c>
      <c r="K149" s="18" t="n">
        <f aca="false">F149-G149</f>
        <v>57.03</v>
      </c>
      <c r="L149" s="6" t="str">
        <f aca="false">INDEX('Plan de cuentas'!$C$5:$C$55,MATCH(C149,'Plan de cuentas'!$A$5:$A$55,0))</f>
        <v>PAVII</v>
      </c>
      <c r="M149" s="6" t="str">
        <f aca="false">INDEX('Plan de cuentas'!$D$5:$D$55,MATCH(C149,'Plan de cuentas'!$A$5:$A$55,0))</f>
        <v>P8</v>
      </c>
    </row>
    <row r="150" customFormat="false" ht="15" hidden="false" customHeight="false" outlineLevel="0" collapsed="false">
      <c r="A150" s="6" t="n">
        <v>61</v>
      </c>
      <c r="B150" s="29" t="n">
        <v>46173</v>
      </c>
      <c r="C150" s="34" t="s">
        <v>343</v>
      </c>
      <c r="D150" s="6" t="s">
        <v>344</v>
      </c>
      <c r="E150" s="6" t="s">
        <v>377</v>
      </c>
      <c r="F150" s="18"/>
      <c r="G150" s="18" t="n">
        <v>57.03</v>
      </c>
      <c r="H150" s="6" t="s">
        <v>341</v>
      </c>
      <c r="I150" s="6" t="s">
        <v>217</v>
      </c>
      <c r="J150" s="6" t="s">
        <v>466</v>
      </c>
      <c r="K150" s="18" t="n">
        <f aca="false">F150-G150</f>
        <v>-57.03</v>
      </c>
      <c r="L150" s="6" t="str">
        <f aca="false">INDEX('Plan de cuentas'!$C$5:$C$55,MATCH(C150,'Plan de cuentas'!$A$5:$A$55,0))</f>
        <v>AII3</v>
      </c>
      <c r="M150" s="6" t="str">
        <f aca="false">INDEX('Plan de cuentas'!$D$5:$D$55,MATCH(C150,'Plan de cuentas'!$A$5:$A$55,0))</f>
        <v>-</v>
      </c>
    </row>
    <row r="151" customFormat="false" ht="15" hidden="false" customHeight="false" outlineLevel="0" collapsed="false">
      <c r="A151" s="6" t="n">
        <v>62</v>
      </c>
      <c r="B151" s="29" t="n">
        <v>46173</v>
      </c>
      <c r="C151" s="34" t="s">
        <v>198</v>
      </c>
      <c r="D151" s="6" t="s">
        <v>199</v>
      </c>
      <c r="E151" s="6" t="s">
        <v>340</v>
      </c>
      <c r="F151" s="18" t="n">
        <v>124.91</v>
      </c>
      <c r="G151" s="18"/>
      <c r="H151" s="6" t="s">
        <v>341</v>
      </c>
      <c r="I151" s="6" t="s">
        <v>222</v>
      </c>
      <c r="J151" s="6" t="s">
        <v>467</v>
      </c>
      <c r="K151" s="18" t="n">
        <f aca="false">F151-G151</f>
        <v>124.91</v>
      </c>
      <c r="L151" s="6" t="str">
        <f aca="false">INDEX('Plan de cuentas'!$C$5:$C$55,MATCH(C151,'Plan de cuentas'!$A$5:$A$55,0))</f>
        <v>PAVII</v>
      </c>
      <c r="M151" s="6" t="str">
        <f aca="false">INDEX('Plan de cuentas'!$D$5:$D$55,MATCH(C151,'Plan de cuentas'!$A$5:$A$55,0))</f>
        <v>P8</v>
      </c>
    </row>
    <row r="152" customFormat="false" ht="15" hidden="false" customHeight="false" outlineLevel="0" collapsed="false">
      <c r="A152" s="6" t="n">
        <v>62</v>
      </c>
      <c r="B152" s="29" t="n">
        <v>46173</v>
      </c>
      <c r="C152" s="34" t="s">
        <v>343</v>
      </c>
      <c r="D152" s="6" t="s">
        <v>344</v>
      </c>
      <c r="E152" s="6" t="s">
        <v>340</v>
      </c>
      <c r="F152" s="18"/>
      <c r="G152" s="18" t="n">
        <v>124.91</v>
      </c>
      <c r="H152" s="6" t="s">
        <v>341</v>
      </c>
      <c r="I152" s="6" t="s">
        <v>222</v>
      </c>
      <c r="J152" s="6" t="s">
        <v>467</v>
      </c>
      <c r="K152" s="18" t="n">
        <f aca="false">F152-G152</f>
        <v>-124.91</v>
      </c>
      <c r="L152" s="6" t="str">
        <f aca="false">INDEX('Plan de cuentas'!$C$5:$C$55,MATCH(C152,'Plan de cuentas'!$A$5:$A$55,0))</f>
        <v>AII3</v>
      </c>
      <c r="M152" s="6" t="str">
        <f aca="false">INDEX('Plan de cuentas'!$D$5:$D$55,MATCH(C152,'Plan de cuentas'!$A$5:$A$55,0))</f>
        <v>-</v>
      </c>
    </row>
    <row r="153" customFormat="false" ht="15" hidden="false" customHeight="false" outlineLevel="0" collapsed="false">
      <c r="A153" s="6" t="n">
        <v>63</v>
      </c>
      <c r="B153" s="29" t="n">
        <v>46173</v>
      </c>
      <c r="C153" s="34" t="s">
        <v>198</v>
      </c>
      <c r="D153" s="6" t="s">
        <v>199</v>
      </c>
      <c r="E153" s="6" t="s">
        <v>468</v>
      </c>
      <c r="F153" s="18" t="n">
        <v>83.66</v>
      </c>
      <c r="G153" s="18"/>
      <c r="H153" s="6" t="s">
        <v>341</v>
      </c>
      <c r="I153" s="6" t="s">
        <v>225</v>
      </c>
      <c r="J153" s="6" t="s">
        <v>469</v>
      </c>
      <c r="K153" s="18" t="n">
        <f aca="false">F153-G153</f>
        <v>83.66</v>
      </c>
      <c r="L153" s="6" t="str">
        <f aca="false">INDEX('Plan de cuentas'!$C$5:$C$55,MATCH(C153,'Plan de cuentas'!$A$5:$A$55,0))</f>
        <v>PAVII</v>
      </c>
      <c r="M153" s="6" t="str">
        <f aca="false">INDEX('Plan de cuentas'!$D$5:$D$55,MATCH(C153,'Plan de cuentas'!$A$5:$A$55,0))</f>
        <v>P8</v>
      </c>
    </row>
    <row r="154" customFormat="false" ht="15" hidden="false" customHeight="false" outlineLevel="0" collapsed="false">
      <c r="A154" s="6" t="n">
        <v>63</v>
      </c>
      <c r="B154" s="29" t="n">
        <v>46173</v>
      </c>
      <c r="C154" s="34" t="s">
        <v>343</v>
      </c>
      <c r="D154" s="6" t="s">
        <v>344</v>
      </c>
      <c r="E154" s="6" t="s">
        <v>468</v>
      </c>
      <c r="F154" s="18"/>
      <c r="G154" s="18" t="n">
        <v>83.66</v>
      </c>
      <c r="H154" s="6" t="s">
        <v>341</v>
      </c>
      <c r="I154" s="6" t="s">
        <v>225</v>
      </c>
      <c r="J154" s="6" t="s">
        <v>469</v>
      </c>
      <c r="K154" s="18" t="n">
        <f aca="false">F154-G154</f>
        <v>-83.66</v>
      </c>
      <c r="L154" s="6" t="str">
        <f aca="false">INDEX('Plan de cuentas'!$C$5:$C$55,MATCH(C154,'Plan de cuentas'!$A$5:$A$55,0))</f>
        <v>AII3</v>
      </c>
      <c r="M154" s="6" t="str">
        <f aca="false">INDEX('Plan de cuentas'!$D$5:$D$55,MATCH(C154,'Plan de cuentas'!$A$5:$A$55,0))</f>
        <v>-</v>
      </c>
    </row>
    <row r="155" customFormat="false" ht="15" hidden="false" customHeight="false" outlineLevel="0" collapsed="false">
      <c r="A155" s="6" t="n">
        <v>64</v>
      </c>
      <c r="B155" s="29" t="n">
        <v>46181</v>
      </c>
      <c r="C155" s="34" t="s">
        <v>390</v>
      </c>
      <c r="D155" s="6" t="s">
        <v>391</v>
      </c>
      <c r="E155" s="6" t="s">
        <v>470</v>
      </c>
      <c r="F155" s="18" t="n">
        <v>3000.8</v>
      </c>
      <c r="G155" s="18"/>
      <c r="H155" s="6" t="s">
        <v>471</v>
      </c>
      <c r="I155" s="6" t="s">
        <v>225</v>
      </c>
      <c r="J155" s="6" t="s">
        <v>472</v>
      </c>
      <c r="K155" s="18" t="n">
        <f aca="false">F155-G155</f>
        <v>3000.8</v>
      </c>
      <c r="L155" s="6" t="str">
        <f aca="false">INDEX('Plan de cuentas'!$C$5:$C$55,MATCH(C155,'Plan de cuentas'!$A$5:$A$55,0))</f>
        <v>BIII1</v>
      </c>
      <c r="M155" s="6" t="str">
        <f aca="false">INDEX('Plan de cuentas'!$D$5:$D$55,MATCH(C155,'Plan de cuentas'!$A$5:$A$55,0))</f>
        <v>-</v>
      </c>
    </row>
    <row r="156" customFormat="false" ht="15" hidden="false" customHeight="false" outlineLevel="0" collapsed="false">
      <c r="A156" s="6" t="n">
        <v>64</v>
      </c>
      <c r="B156" s="29" t="n">
        <v>46181</v>
      </c>
      <c r="C156" s="34" t="s">
        <v>343</v>
      </c>
      <c r="D156" s="6" t="s">
        <v>344</v>
      </c>
      <c r="E156" s="6" t="s">
        <v>473</v>
      </c>
      <c r="F156" s="18" t="n">
        <v>261.78</v>
      </c>
      <c r="G156" s="18"/>
      <c r="H156" s="6" t="s">
        <v>471</v>
      </c>
      <c r="I156" s="6" t="s">
        <v>225</v>
      </c>
      <c r="J156" s="6" t="s">
        <v>472</v>
      </c>
      <c r="K156" s="18" t="n">
        <f aca="false">F156-G156</f>
        <v>261.78</v>
      </c>
      <c r="L156" s="6" t="str">
        <f aca="false">INDEX('Plan de cuentas'!$C$5:$C$55,MATCH(C156,'Plan de cuentas'!$A$5:$A$55,0))</f>
        <v>AII3</v>
      </c>
      <c r="M156" s="6" t="str">
        <f aca="false">INDEX('Plan de cuentas'!$D$5:$D$55,MATCH(C156,'Plan de cuentas'!$A$5:$A$55,0))</f>
        <v>-</v>
      </c>
    </row>
    <row r="157" customFormat="false" ht="15" hidden="false" customHeight="false" outlineLevel="0" collapsed="false">
      <c r="A157" s="6" t="n">
        <v>64</v>
      </c>
      <c r="B157" s="29" t="n">
        <v>46181</v>
      </c>
      <c r="C157" s="34" t="s">
        <v>329</v>
      </c>
      <c r="D157" s="6" t="s">
        <v>330</v>
      </c>
      <c r="E157" s="6" t="s">
        <v>474</v>
      </c>
      <c r="F157" s="18"/>
      <c r="G157" s="18" t="n">
        <v>6156.7</v>
      </c>
      <c r="H157" s="6" t="s">
        <v>471</v>
      </c>
      <c r="I157" s="6" t="s">
        <v>225</v>
      </c>
      <c r="J157" s="6" t="s">
        <v>472</v>
      </c>
      <c r="K157" s="18" t="n">
        <f aca="false">F157-G157</f>
        <v>-6156.7</v>
      </c>
      <c r="L157" s="6" t="str">
        <f aca="false">INDEX('Plan de cuentas'!$C$5:$C$55,MATCH(C157,'Plan de cuentas'!$A$5:$A$55,0))</f>
        <v>AII1</v>
      </c>
      <c r="M157" s="6" t="str">
        <f aca="false">INDEX('Plan de cuentas'!$D$5:$D$55,MATCH(C157,'Plan de cuentas'!$A$5:$A$55,0))</f>
        <v>-</v>
      </c>
    </row>
    <row r="158" customFormat="false" ht="15" hidden="false" customHeight="false" outlineLevel="0" collapsed="false">
      <c r="A158" s="6" t="n">
        <v>64</v>
      </c>
      <c r="B158" s="29" t="n">
        <v>46181</v>
      </c>
      <c r="C158" s="34" t="s">
        <v>395</v>
      </c>
      <c r="D158" s="6" t="s">
        <v>396</v>
      </c>
      <c r="E158" s="6" t="s">
        <v>475</v>
      </c>
      <c r="F158" s="18"/>
      <c r="G158" s="18" t="n">
        <v>520.8</v>
      </c>
      <c r="H158" s="6" t="s">
        <v>471</v>
      </c>
      <c r="I158" s="6" t="s">
        <v>225</v>
      </c>
      <c r="J158" s="6" t="s">
        <v>472</v>
      </c>
      <c r="K158" s="18" t="n">
        <f aca="false">F158-G158</f>
        <v>-520.8</v>
      </c>
      <c r="L158" s="6" t="str">
        <f aca="false">INDEX('Plan de cuentas'!$C$5:$C$55,MATCH(C158,'Plan de cuentas'!$A$5:$A$55,0))</f>
        <v>PCV2</v>
      </c>
      <c r="M158" s="6" t="str">
        <f aca="false">INDEX('Plan de cuentas'!$D$5:$D$55,MATCH(C158,'Plan de cuentas'!$A$5:$A$55,0))</f>
        <v>-</v>
      </c>
    </row>
    <row r="159" customFormat="false" ht="15" hidden="false" customHeight="false" outlineLevel="0" collapsed="false">
      <c r="A159" s="6" t="n">
        <v>64</v>
      </c>
      <c r="B159" s="29" t="n">
        <v>46181</v>
      </c>
      <c r="C159" s="34" t="s">
        <v>194</v>
      </c>
      <c r="D159" s="6" t="s">
        <v>195</v>
      </c>
      <c r="E159" s="6" t="s">
        <v>476</v>
      </c>
      <c r="F159" s="18" t="n">
        <v>3414.92</v>
      </c>
      <c r="G159" s="18"/>
      <c r="H159" s="6" t="s">
        <v>471</v>
      </c>
      <c r="I159" s="6" t="s">
        <v>225</v>
      </c>
      <c r="J159" s="6" t="s">
        <v>472</v>
      </c>
      <c r="K159" s="18" t="n">
        <f aca="false">F159-G159</f>
        <v>3414.92</v>
      </c>
      <c r="L159" s="6" t="str">
        <f aca="false">INDEX('Plan de cuentas'!$C$5:$C$55,MATCH(C159,'Plan de cuentas'!$A$5:$A$55,0))</f>
        <v>PAVII</v>
      </c>
      <c r="M159" s="6" t="str">
        <f aca="false">INDEX('Plan de cuentas'!$D$5:$D$55,MATCH(C159,'Plan de cuentas'!$A$5:$A$55,0))</f>
        <v>P11</v>
      </c>
    </row>
    <row r="160" customFormat="false" ht="15" hidden="false" customHeight="false" outlineLevel="0" collapsed="false">
      <c r="A160" s="6" t="n">
        <v>65</v>
      </c>
      <c r="B160" s="29" t="n">
        <v>46181</v>
      </c>
      <c r="C160" s="34" t="s">
        <v>198</v>
      </c>
      <c r="D160" s="6" t="s">
        <v>199</v>
      </c>
      <c r="E160" s="6" t="s">
        <v>477</v>
      </c>
      <c r="F160" s="18" t="n">
        <v>21.59</v>
      </c>
      <c r="G160" s="18"/>
      <c r="H160" s="6" t="s">
        <v>341</v>
      </c>
      <c r="I160" s="6" t="s">
        <v>225</v>
      </c>
      <c r="J160" s="6" t="s">
        <v>478</v>
      </c>
      <c r="K160" s="18" t="n">
        <f aca="false">F160-G160</f>
        <v>21.59</v>
      </c>
      <c r="L160" s="6" t="str">
        <f aca="false">INDEX('Plan de cuentas'!$C$5:$C$55,MATCH(C160,'Plan de cuentas'!$A$5:$A$55,0))</f>
        <v>PAVII</v>
      </c>
      <c r="M160" s="6" t="str">
        <f aca="false">INDEX('Plan de cuentas'!$D$5:$D$55,MATCH(C160,'Plan de cuentas'!$A$5:$A$55,0))</f>
        <v>P8</v>
      </c>
    </row>
    <row r="161" customFormat="false" ht="15" hidden="false" customHeight="false" outlineLevel="0" collapsed="false">
      <c r="A161" s="6" t="n">
        <v>65</v>
      </c>
      <c r="B161" s="29" t="n">
        <v>46181</v>
      </c>
      <c r="C161" s="34" t="s">
        <v>343</v>
      </c>
      <c r="D161" s="6" t="s">
        <v>344</v>
      </c>
      <c r="E161" s="6" t="s">
        <v>477</v>
      </c>
      <c r="F161" s="18"/>
      <c r="G161" s="18" t="n">
        <v>21.59</v>
      </c>
      <c r="H161" s="6" t="s">
        <v>341</v>
      </c>
      <c r="I161" s="6" t="s">
        <v>225</v>
      </c>
      <c r="J161" s="6" t="s">
        <v>478</v>
      </c>
      <c r="K161" s="18" t="n">
        <f aca="false">F161-G161</f>
        <v>-21.59</v>
      </c>
      <c r="L161" s="6" t="str">
        <f aca="false">INDEX('Plan de cuentas'!$C$5:$C$55,MATCH(C161,'Plan de cuentas'!$A$5:$A$55,0))</f>
        <v>AII3</v>
      </c>
      <c r="M161" s="6" t="str">
        <f aca="false">INDEX('Plan de cuentas'!$D$5:$D$55,MATCH(C161,'Plan de cuentas'!$A$5:$A$55,0))</f>
        <v>-</v>
      </c>
    </row>
    <row r="162" customFormat="false" ht="15" hidden="false" customHeight="false" outlineLevel="0" collapsed="false">
      <c r="A162" s="6" t="n">
        <v>66</v>
      </c>
      <c r="B162" s="29" t="n">
        <v>46184</v>
      </c>
      <c r="C162" s="34" t="s">
        <v>182</v>
      </c>
      <c r="D162" s="6" t="s">
        <v>183</v>
      </c>
      <c r="E162" s="6" t="s">
        <v>479</v>
      </c>
      <c r="F162" s="18" t="n">
        <v>114.8</v>
      </c>
      <c r="G162" s="18"/>
      <c r="H162" s="6" t="s">
        <v>334</v>
      </c>
      <c r="I162" s="6" t="s">
        <v>229</v>
      </c>
      <c r="J162" s="6" t="s">
        <v>480</v>
      </c>
      <c r="K162" s="18" t="n">
        <f aca="false">F162-G162</f>
        <v>114.8</v>
      </c>
      <c r="L162" s="6" t="str">
        <f aca="false">INDEX('Plan de cuentas'!$C$5:$C$55,MATCH(C162,'Plan de cuentas'!$A$5:$A$55,0))</f>
        <v>PAVII</v>
      </c>
      <c r="M162" s="6" t="str">
        <f aca="false">INDEX('Plan de cuentas'!$D$5:$D$55,MATCH(C162,'Plan de cuentas'!$A$5:$A$55,0))</f>
        <v>P7a</v>
      </c>
    </row>
    <row r="163" customFormat="false" ht="15" hidden="false" customHeight="false" outlineLevel="0" collapsed="false">
      <c r="A163" s="6" t="n">
        <v>66</v>
      </c>
      <c r="B163" s="29" t="n">
        <v>46184</v>
      </c>
      <c r="C163" s="34" t="s">
        <v>355</v>
      </c>
      <c r="D163" s="6" t="s">
        <v>356</v>
      </c>
      <c r="E163" s="6" t="s">
        <v>481</v>
      </c>
      <c r="F163" s="18" t="n">
        <v>24.11</v>
      </c>
      <c r="G163" s="18"/>
      <c r="H163" s="6" t="s">
        <v>334</v>
      </c>
      <c r="I163" s="6" t="s">
        <v>229</v>
      </c>
      <c r="J163" s="6" t="s">
        <v>480</v>
      </c>
      <c r="K163" s="18" t="n">
        <f aca="false">F163-G163</f>
        <v>24.11</v>
      </c>
      <c r="L163" s="6" t="str">
        <f aca="false">INDEX('Plan de cuentas'!$C$5:$C$55,MATCH(C163,'Plan de cuentas'!$A$5:$A$55,0))</f>
        <v>BIII2</v>
      </c>
      <c r="M163" s="6" t="str">
        <f aca="false">INDEX('Plan de cuentas'!$D$5:$D$55,MATCH(C163,'Plan de cuentas'!$A$5:$A$55,0))</f>
        <v>-</v>
      </c>
    </row>
    <row r="164" customFormat="false" ht="15" hidden="false" customHeight="false" outlineLevel="0" collapsed="false">
      <c r="A164" s="6" t="n">
        <v>66</v>
      </c>
      <c r="B164" s="29" t="n">
        <v>46184</v>
      </c>
      <c r="C164" s="34" t="s">
        <v>336</v>
      </c>
      <c r="D164" s="6" t="s">
        <v>337</v>
      </c>
      <c r="E164" s="6" t="s">
        <v>479</v>
      </c>
      <c r="F164" s="18"/>
      <c r="G164" s="18" t="n">
        <v>138.91</v>
      </c>
      <c r="H164" s="6" t="s">
        <v>334</v>
      </c>
      <c r="I164" s="6" t="s">
        <v>229</v>
      </c>
      <c r="J164" s="6" t="s">
        <v>480</v>
      </c>
      <c r="K164" s="18" t="n">
        <f aca="false">F164-G164</f>
        <v>-138.91</v>
      </c>
      <c r="L164" s="6" t="str">
        <f aca="false">INDEX('Plan de cuentas'!$C$5:$C$55,MATCH(C164,'Plan de cuentas'!$A$5:$A$55,0))</f>
        <v>PCV1</v>
      </c>
      <c r="M164" s="6" t="str">
        <f aca="false">INDEX('Plan de cuentas'!$D$5:$D$55,MATCH(C164,'Plan de cuentas'!$A$5:$A$55,0))</f>
        <v>-</v>
      </c>
    </row>
    <row r="165" customFormat="false" ht="15" hidden="false" customHeight="false" outlineLevel="0" collapsed="false">
      <c r="A165" s="6" t="n">
        <v>67</v>
      </c>
      <c r="B165" s="29" t="n">
        <v>46184</v>
      </c>
      <c r="C165" s="34" t="s">
        <v>336</v>
      </c>
      <c r="D165" s="6" t="s">
        <v>337</v>
      </c>
      <c r="E165" s="6" t="s">
        <v>482</v>
      </c>
      <c r="F165" s="18" t="n">
        <v>138.91</v>
      </c>
      <c r="G165" s="18"/>
      <c r="H165" s="6" t="s">
        <v>361</v>
      </c>
      <c r="I165" s="6" t="s">
        <v>229</v>
      </c>
      <c r="J165" s="6" t="s">
        <v>480</v>
      </c>
      <c r="K165" s="18" t="n">
        <f aca="false">F165-G165</f>
        <v>138.91</v>
      </c>
      <c r="L165" s="6" t="str">
        <f aca="false">INDEX('Plan de cuentas'!$C$5:$C$55,MATCH(C165,'Plan de cuentas'!$A$5:$A$55,0))</f>
        <v>PCV1</v>
      </c>
      <c r="M165" s="6" t="str">
        <f aca="false">INDEX('Plan de cuentas'!$D$5:$D$55,MATCH(C165,'Plan de cuentas'!$A$5:$A$55,0))</f>
        <v>-</v>
      </c>
    </row>
    <row r="166" customFormat="false" ht="15" hidden="false" customHeight="false" outlineLevel="0" collapsed="false">
      <c r="A166" s="6" t="n">
        <v>67</v>
      </c>
      <c r="B166" s="29" t="n">
        <v>46184</v>
      </c>
      <c r="C166" s="34" t="s">
        <v>308</v>
      </c>
      <c r="D166" s="6" t="s">
        <v>309</v>
      </c>
      <c r="E166" s="6" t="s">
        <v>482</v>
      </c>
      <c r="F166" s="18"/>
      <c r="G166" s="18" t="n">
        <v>138.91</v>
      </c>
      <c r="H166" s="6" t="s">
        <v>361</v>
      </c>
      <c r="I166" s="6" t="s">
        <v>229</v>
      </c>
      <c r="J166" s="6" t="s">
        <v>480</v>
      </c>
      <c r="K166" s="18" t="n">
        <f aca="false">F166-G166</f>
        <v>-138.91</v>
      </c>
      <c r="L166" s="6" t="str">
        <f aca="false">INDEX('Plan de cuentas'!$C$5:$C$55,MATCH(C166,'Plan de cuentas'!$A$5:$A$55,0))</f>
        <v>BVII</v>
      </c>
      <c r="M166" s="6" t="str">
        <f aca="false">INDEX('Plan de cuentas'!$D$5:$D$55,MATCH(C166,'Plan de cuentas'!$A$5:$A$55,0))</f>
        <v>-</v>
      </c>
    </row>
    <row r="167" customFormat="false" ht="15" hidden="false" customHeight="false" outlineLevel="0" collapsed="false">
      <c r="A167" s="6" t="n">
        <v>68</v>
      </c>
      <c r="B167" s="29" t="n">
        <v>46189</v>
      </c>
      <c r="C167" s="34" t="s">
        <v>182</v>
      </c>
      <c r="D167" s="6" t="s">
        <v>183</v>
      </c>
      <c r="E167" s="6" t="s">
        <v>483</v>
      </c>
      <c r="F167" s="18" t="n">
        <v>126.1</v>
      </c>
      <c r="G167" s="18"/>
      <c r="H167" s="6" t="s">
        <v>334</v>
      </c>
      <c r="I167" s="6" t="s">
        <v>222</v>
      </c>
      <c r="J167" s="6" t="s">
        <v>484</v>
      </c>
      <c r="K167" s="18" t="n">
        <f aca="false">F167-G167</f>
        <v>126.1</v>
      </c>
      <c r="L167" s="6" t="str">
        <f aca="false">INDEX('Plan de cuentas'!$C$5:$C$55,MATCH(C167,'Plan de cuentas'!$A$5:$A$55,0))</f>
        <v>PAVII</v>
      </c>
      <c r="M167" s="6" t="str">
        <f aca="false">INDEX('Plan de cuentas'!$D$5:$D$55,MATCH(C167,'Plan de cuentas'!$A$5:$A$55,0))</f>
        <v>P7a</v>
      </c>
    </row>
    <row r="168" customFormat="false" ht="15" hidden="false" customHeight="false" outlineLevel="0" collapsed="false">
      <c r="A168" s="6" t="n">
        <v>68</v>
      </c>
      <c r="B168" s="29" t="n">
        <v>46189</v>
      </c>
      <c r="C168" s="34" t="s">
        <v>355</v>
      </c>
      <c r="D168" s="6" t="s">
        <v>356</v>
      </c>
      <c r="E168" s="6" t="s">
        <v>485</v>
      </c>
      <c r="F168" s="18" t="n">
        <v>26.48</v>
      </c>
      <c r="G168" s="18"/>
      <c r="H168" s="6" t="s">
        <v>334</v>
      </c>
      <c r="I168" s="6" t="s">
        <v>222</v>
      </c>
      <c r="J168" s="6" t="s">
        <v>484</v>
      </c>
      <c r="K168" s="18" t="n">
        <f aca="false">F168-G168</f>
        <v>26.48</v>
      </c>
      <c r="L168" s="6" t="str">
        <f aca="false">INDEX('Plan de cuentas'!$C$5:$C$55,MATCH(C168,'Plan de cuentas'!$A$5:$A$55,0))</f>
        <v>BIII2</v>
      </c>
      <c r="M168" s="6" t="str">
        <f aca="false">INDEX('Plan de cuentas'!$D$5:$D$55,MATCH(C168,'Plan de cuentas'!$A$5:$A$55,0))</f>
        <v>-</v>
      </c>
    </row>
    <row r="169" customFormat="false" ht="15" hidden="false" customHeight="false" outlineLevel="0" collapsed="false">
      <c r="A169" s="6" t="n">
        <v>68</v>
      </c>
      <c r="B169" s="29" t="n">
        <v>46189</v>
      </c>
      <c r="C169" s="34" t="s">
        <v>336</v>
      </c>
      <c r="D169" s="6" t="s">
        <v>337</v>
      </c>
      <c r="E169" s="6" t="s">
        <v>483</v>
      </c>
      <c r="F169" s="18"/>
      <c r="G169" s="18" t="n">
        <v>152.58</v>
      </c>
      <c r="H169" s="6" t="s">
        <v>334</v>
      </c>
      <c r="I169" s="6" t="s">
        <v>222</v>
      </c>
      <c r="J169" s="6" t="s">
        <v>484</v>
      </c>
      <c r="K169" s="18" t="n">
        <f aca="false">F169-G169</f>
        <v>-152.58</v>
      </c>
      <c r="L169" s="6" t="str">
        <f aca="false">INDEX('Plan de cuentas'!$C$5:$C$55,MATCH(C169,'Plan de cuentas'!$A$5:$A$55,0))</f>
        <v>PCV1</v>
      </c>
      <c r="M169" s="6" t="str">
        <f aca="false">INDEX('Plan de cuentas'!$D$5:$D$55,MATCH(C169,'Plan de cuentas'!$A$5:$A$55,0))</f>
        <v>-</v>
      </c>
    </row>
    <row r="170" customFormat="false" ht="15" hidden="false" customHeight="false" outlineLevel="0" collapsed="false">
      <c r="A170" s="6" t="n">
        <v>69</v>
      </c>
      <c r="B170" s="29" t="n">
        <v>46189</v>
      </c>
      <c r="C170" s="34" t="s">
        <v>336</v>
      </c>
      <c r="D170" s="6" t="s">
        <v>337</v>
      </c>
      <c r="E170" s="6" t="s">
        <v>486</v>
      </c>
      <c r="F170" s="18" t="n">
        <v>152.58</v>
      </c>
      <c r="G170" s="18"/>
      <c r="H170" s="6" t="s">
        <v>361</v>
      </c>
      <c r="I170" s="6" t="s">
        <v>222</v>
      </c>
      <c r="J170" s="6" t="s">
        <v>484</v>
      </c>
      <c r="K170" s="18" t="n">
        <f aca="false">F170-G170</f>
        <v>152.58</v>
      </c>
      <c r="L170" s="6" t="str">
        <f aca="false">INDEX('Plan de cuentas'!$C$5:$C$55,MATCH(C170,'Plan de cuentas'!$A$5:$A$55,0))</f>
        <v>PCV1</v>
      </c>
      <c r="M170" s="6" t="str">
        <f aca="false">INDEX('Plan de cuentas'!$D$5:$D$55,MATCH(C170,'Plan de cuentas'!$A$5:$A$55,0))</f>
        <v>-</v>
      </c>
    </row>
    <row r="171" customFormat="false" ht="15" hidden="false" customHeight="false" outlineLevel="0" collapsed="false">
      <c r="A171" s="6" t="n">
        <v>69</v>
      </c>
      <c r="B171" s="29" t="n">
        <v>46189</v>
      </c>
      <c r="C171" s="34" t="s">
        <v>308</v>
      </c>
      <c r="D171" s="6" t="s">
        <v>309</v>
      </c>
      <c r="E171" s="6" t="s">
        <v>486</v>
      </c>
      <c r="F171" s="18"/>
      <c r="G171" s="18" t="n">
        <v>152.58</v>
      </c>
      <c r="H171" s="6" t="s">
        <v>361</v>
      </c>
      <c r="I171" s="6" t="s">
        <v>222</v>
      </c>
      <c r="J171" s="6" t="s">
        <v>484</v>
      </c>
      <c r="K171" s="18" t="n">
        <f aca="false">F171-G171</f>
        <v>-152.58</v>
      </c>
      <c r="L171" s="6" t="str">
        <f aca="false">INDEX('Plan de cuentas'!$C$5:$C$55,MATCH(C171,'Plan de cuentas'!$A$5:$A$55,0))</f>
        <v>BVII</v>
      </c>
      <c r="M171" s="6" t="str">
        <f aca="false">INDEX('Plan de cuentas'!$D$5:$D$55,MATCH(C171,'Plan de cuentas'!$A$5:$A$55,0))</f>
        <v>-</v>
      </c>
    </row>
    <row r="172" customFormat="false" ht="15" hidden="false" customHeight="false" outlineLevel="0" collapsed="false">
      <c r="A172" s="6" t="n">
        <v>70</v>
      </c>
      <c r="B172" s="29" t="n">
        <v>46190</v>
      </c>
      <c r="C172" s="34" t="s">
        <v>390</v>
      </c>
      <c r="D172" s="6" t="s">
        <v>391</v>
      </c>
      <c r="E172" s="6" t="s">
        <v>487</v>
      </c>
      <c r="F172" s="18" t="n">
        <v>490.05</v>
      </c>
      <c r="G172" s="18"/>
      <c r="H172" s="6" t="s">
        <v>393</v>
      </c>
      <c r="I172" s="6" t="s">
        <v>222</v>
      </c>
      <c r="J172" s="6" t="s">
        <v>488</v>
      </c>
      <c r="K172" s="18" t="n">
        <f aca="false">F172-G172</f>
        <v>490.05</v>
      </c>
      <c r="L172" s="6" t="str">
        <f aca="false">INDEX('Plan de cuentas'!$C$5:$C$55,MATCH(C172,'Plan de cuentas'!$A$5:$A$55,0))</f>
        <v>BIII1</v>
      </c>
      <c r="M172" s="6" t="str">
        <f aca="false">INDEX('Plan de cuentas'!$D$5:$D$55,MATCH(C172,'Plan de cuentas'!$A$5:$A$55,0))</f>
        <v>-</v>
      </c>
    </row>
    <row r="173" customFormat="false" ht="15" hidden="false" customHeight="false" outlineLevel="0" collapsed="false">
      <c r="A173" s="6" t="n">
        <v>70</v>
      </c>
      <c r="B173" s="29" t="n">
        <v>46190</v>
      </c>
      <c r="C173" s="34" t="s">
        <v>200</v>
      </c>
      <c r="D173" s="6" t="s">
        <v>201</v>
      </c>
      <c r="E173" s="6" t="s">
        <v>487</v>
      </c>
      <c r="F173" s="18"/>
      <c r="G173" s="18" t="n">
        <v>405</v>
      </c>
      <c r="H173" s="6" t="s">
        <v>393</v>
      </c>
      <c r="I173" s="6" t="s">
        <v>222</v>
      </c>
      <c r="J173" s="6" t="s">
        <v>488</v>
      </c>
      <c r="K173" s="18" t="n">
        <f aca="false">F173-G173</f>
        <v>-405</v>
      </c>
      <c r="L173" s="6" t="str">
        <f aca="false">INDEX('Plan de cuentas'!$C$5:$C$55,MATCH(C173,'Plan de cuentas'!$A$5:$A$55,0))</f>
        <v>PAVII</v>
      </c>
      <c r="M173" s="6" t="str">
        <f aca="false">INDEX('Plan de cuentas'!$D$5:$D$55,MATCH(C173,'Plan de cuentas'!$A$5:$A$55,0))</f>
        <v>P1</v>
      </c>
    </row>
    <row r="174" customFormat="false" ht="15" hidden="false" customHeight="false" outlineLevel="0" collapsed="false">
      <c r="A174" s="6" t="n">
        <v>70</v>
      </c>
      <c r="B174" s="29" t="n">
        <v>46190</v>
      </c>
      <c r="C174" s="34" t="s">
        <v>395</v>
      </c>
      <c r="D174" s="6" t="s">
        <v>396</v>
      </c>
      <c r="E174" s="6" t="s">
        <v>489</v>
      </c>
      <c r="F174" s="18"/>
      <c r="G174" s="18" t="n">
        <v>85.05</v>
      </c>
      <c r="H174" s="6" t="s">
        <v>393</v>
      </c>
      <c r="I174" s="6" t="s">
        <v>222</v>
      </c>
      <c r="J174" s="6" t="s">
        <v>488</v>
      </c>
      <c r="K174" s="18" t="n">
        <f aca="false">F174-G174</f>
        <v>-85.05</v>
      </c>
      <c r="L174" s="6" t="str">
        <f aca="false">INDEX('Plan de cuentas'!$C$5:$C$55,MATCH(C174,'Plan de cuentas'!$A$5:$A$55,0))</f>
        <v>PCV2</v>
      </c>
      <c r="M174" s="6" t="str">
        <f aca="false">INDEX('Plan de cuentas'!$D$5:$D$55,MATCH(C174,'Plan de cuentas'!$A$5:$A$55,0))</f>
        <v>-</v>
      </c>
    </row>
    <row r="175" customFormat="false" ht="15" hidden="false" customHeight="false" outlineLevel="0" collapsed="false">
      <c r="A175" s="6" t="n">
        <v>71</v>
      </c>
      <c r="B175" s="29" t="n">
        <v>46194</v>
      </c>
      <c r="C175" s="34" t="s">
        <v>188</v>
      </c>
      <c r="D175" s="6" t="s">
        <v>189</v>
      </c>
      <c r="E175" s="6" t="s">
        <v>490</v>
      </c>
      <c r="F175" s="18" t="n">
        <v>15</v>
      </c>
      <c r="G175" s="18"/>
      <c r="H175" s="6" t="s">
        <v>334</v>
      </c>
      <c r="I175" s="6"/>
      <c r="J175" s="6" t="s">
        <v>491</v>
      </c>
      <c r="K175" s="18" t="n">
        <f aca="false">F175-G175</f>
        <v>15</v>
      </c>
      <c r="L175" s="6" t="str">
        <f aca="false">INDEX('Plan de cuentas'!$C$5:$C$55,MATCH(C175,'Plan de cuentas'!$A$5:$A$55,0))</f>
        <v>PAVII</v>
      </c>
      <c r="M175" s="6" t="str">
        <f aca="false">INDEX('Plan de cuentas'!$D$5:$D$55,MATCH(C175,'Plan de cuentas'!$A$5:$A$55,0))</f>
        <v>P7a</v>
      </c>
    </row>
    <row r="176" customFormat="false" ht="15" hidden="false" customHeight="false" outlineLevel="0" collapsed="false">
      <c r="A176" s="6" t="n">
        <v>71</v>
      </c>
      <c r="B176" s="29" t="n">
        <v>46194</v>
      </c>
      <c r="C176" s="34" t="s">
        <v>336</v>
      </c>
      <c r="D176" s="6" t="s">
        <v>337</v>
      </c>
      <c r="E176" s="6" t="s">
        <v>490</v>
      </c>
      <c r="F176" s="18"/>
      <c r="G176" s="18" t="n">
        <v>15</v>
      </c>
      <c r="H176" s="6" t="s">
        <v>334</v>
      </c>
      <c r="I176" s="6"/>
      <c r="J176" s="6" t="s">
        <v>491</v>
      </c>
      <c r="K176" s="18" t="n">
        <f aca="false">F176-G176</f>
        <v>-15</v>
      </c>
      <c r="L176" s="6" t="str">
        <f aca="false">INDEX('Plan de cuentas'!$C$5:$C$55,MATCH(C176,'Plan de cuentas'!$A$5:$A$55,0))</f>
        <v>PCV1</v>
      </c>
      <c r="M176" s="6" t="str">
        <f aca="false">INDEX('Plan de cuentas'!$D$5:$D$55,MATCH(C176,'Plan de cuentas'!$A$5:$A$55,0))</f>
        <v>-</v>
      </c>
    </row>
    <row r="177" customFormat="false" ht="15" hidden="false" customHeight="false" outlineLevel="0" collapsed="false">
      <c r="A177" s="6" t="n">
        <v>72</v>
      </c>
      <c r="B177" s="29" t="n">
        <v>46194</v>
      </c>
      <c r="C177" s="34" t="s">
        <v>336</v>
      </c>
      <c r="D177" s="6" t="s">
        <v>337</v>
      </c>
      <c r="E177" s="6" t="s">
        <v>492</v>
      </c>
      <c r="F177" s="18" t="n">
        <v>15</v>
      </c>
      <c r="G177" s="18"/>
      <c r="H177" s="6" t="s">
        <v>361</v>
      </c>
      <c r="I177" s="6"/>
      <c r="J177" s="6" t="s">
        <v>491</v>
      </c>
      <c r="K177" s="18" t="n">
        <f aca="false">F177-G177</f>
        <v>15</v>
      </c>
      <c r="L177" s="6" t="str">
        <f aca="false">INDEX('Plan de cuentas'!$C$5:$C$55,MATCH(C177,'Plan de cuentas'!$A$5:$A$55,0))</f>
        <v>PCV1</v>
      </c>
      <c r="M177" s="6" t="str">
        <f aca="false">INDEX('Plan de cuentas'!$D$5:$D$55,MATCH(C177,'Plan de cuentas'!$A$5:$A$55,0))</f>
        <v>-</v>
      </c>
    </row>
    <row r="178" customFormat="false" ht="15" hidden="false" customHeight="false" outlineLevel="0" collapsed="false">
      <c r="A178" s="6" t="n">
        <v>72</v>
      </c>
      <c r="B178" s="29" t="n">
        <v>46194</v>
      </c>
      <c r="C178" s="34" t="s">
        <v>308</v>
      </c>
      <c r="D178" s="6" t="s">
        <v>309</v>
      </c>
      <c r="E178" s="6" t="s">
        <v>492</v>
      </c>
      <c r="F178" s="18"/>
      <c r="G178" s="18" t="n">
        <v>15</v>
      </c>
      <c r="H178" s="6" t="s">
        <v>361</v>
      </c>
      <c r="I178" s="6"/>
      <c r="J178" s="6" t="s">
        <v>491</v>
      </c>
      <c r="K178" s="18" t="n">
        <f aca="false">F178-G178</f>
        <v>-15</v>
      </c>
      <c r="L178" s="6" t="str">
        <f aca="false">INDEX('Plan de cuentas'!$C$5:$C$55,MATCH(C178,'Plan de cuentas'!$A$5:$A$55,0))</f>
        <v>BVII</v>
      </c>
      <c r="M178" s="6" t="str">
        <f aca="false">INDEX('Plan de cuentas'!$D$5:$D$55,MATCH(C178,'Plan de cuentas'!$A$5:$A$55,0))</f>
        <v>-</v>
      </c>
    </row>
    <row r="179" customFormat="false" ht="15" hidden="false" customHeight="false" outlineLevel="0" collapsed="false">
      <c r="A179" s="6" t="n">
        <v>73</v>
      </c>
      <c r="B179" s="29" t="n">
        <v>46203</v>
      </c>
      <c r="C179" s="34" t="s">
        <v>329</v>
      </c>
      <c r="D179" s="6" t="s">
        <v>330</v>
      </c>
      <c r="E179" s="6" t="s">
        <v>493</v>
      </c>
      <c r="F179" s="18" t="n">
        <v>7931.03</v>
      </c>
      <c r="G179" s="18"/>
      <c r="H179" s="6" t="s">
        <v>346</v>
      </c>
      <c r="I179" s="6" t="s">
        <v>233</v>
      </c>
      <c r="J179" s="6"/>
      <c r="K179" s="18" t="n">
        <f aca="false">F179-G179</f>
        <v>7931.03</v>
      </c>
      <c r="L179" s="6" t="str">
        <f aca="false">INDEX('Plan de cuentas'!$C$5:$C$55,MATCH(C179,'Plan de cuentas'!$A$5:$A$55,0))</f>
        <v>AII1</v>
      </c>
      <c r="M179" s="6" t="str">
        <f aca="false">INDEX('Plan de cuentas'!$D$5:$D$55,MATCH(C179,'Plan de cuentas'!$A$5:$A$55,0))</f>
        <v>-</v>
      </c>
    </row>
    <row r="180" customFormat="false" ht="15" hidden="false" customHeight="false" outlineLevel="0" collapsed="false">
      <c r="A180" s="6" t="n">
        <v>73</v>
      </c>
      <c r="B180" s="29" t="n">
        <v>46203</v>
      </c>
      <c r="C180" s="34" t="s">
        <v>348</v>
      </c>
      <c r="D180" s="6" t="s">
        <v>267</v>
      </c>
      <c r="E180" s="6" t="s">
        <v>493</v>
      </c>
      <c r="F180" s="18"/>
      <c r="G180" s="18" t="n">
        <v>7931.03</v>
      </c>
      <c r="H180" s="6" t="s">
        <v>346</v>
      </c>
      <c r="I180" s="6" t="s">
        <v>233</v>
      </c>
      <c r="J180" s="6"/>
      <c r="K180" s="18" t="n">
        <f aca="false">F180-G180</f>
        <v>-7931.03</v>
      </c>
      <c r="L180" s="6" t="str">
        <f aca="false">INDEX('Plan de cuentas'!$C$5:$C$55,MATCH(C180,'Plan de cuentas'!$A$5:$A$55,0))</f>
        <v>D555</v>
      </c>
      <c r="M180" s="6" t="str">
        <f aca="false">INDEX('Plan de cuentas'!$D$5:$D$55,MATCH(C180,'Plan de cuentas'!$A$5:$A$55,0))</f>
        <v>-</v>
      </c>
    </row>
    <row r="181" customFormat="false" ht="15" hidden="false" customHeight="false" outlineLevel="0" collapsed="false">
      <c r="A181" s="6" t="n">
        <v>74</v>
      </c>
      <c r="B181" s="29" t="n">
        <v>46203</v>
      </c>
      <c r="C181" s="34" t="s">
        <v>184</v>
      </c>
      <c r="D181" s="6" t="s">
        <v>185</v>
      </c>
      <c r="E181" s="6" t="s">
        <v>494</v>
      </c>
      <c r="F181" s="18" t="n">
        <v>41.49</v>
      </c>
      <c r="G181" s="18"/>
      <c r="H181" s="6" t="s">
        <v>334</v>
      </c>
      <c r="I181" s="6" t="s">
        <v>217</v>
      </c>
      <c r="J181" s="6" t="s">
        <v>495</v>
      </c>
      <c r="K181" s="18" t="n">
        <f aca="false">F181-G181</f>
        <v>41.49</v>
      </c>
      <c r="L181" s="6" t="str">
        <f aca="false">INDEX('Plan de cuentas'!$C$5:$C$55,MATCH(C181,'Plan de cuentas'!$A$5:$A$55,0))</f>
        <v>PAVII</v>
      </c>
      <c r="M181" s="6" t="str">
        <f aca="false">INDEX('Plan de cuentas'!$D$5:$D$55,MATCH(C181,'Plan de cuentas'!$A$5:$A$55,0))</f>
        <v>P7a</v>
      </c>
    </row>
    <row r="182" customFormat="false" ht="15" hidden="false" customHeight="false" outlineLevel="0" collapsed="false">
      <c r="A182" s="6" t="n">
        <v>74</v>
      </c>
      <c r="B182" s="29" t="n">
        <v>46203</v>
      </c>
      <c r="C182" s="34" t="s">
        <v>355</v>
      </c>
      <c r="D182" s="6" t="s">
        <v>356</v>
      </c>
      <c r="E182" s="6" t="s">
        <v>496</v>
      </c>
      <c r="F182" s="18" t="n">
        <v>8.71</v>
      </c>
      <c r="G182" s="18"/>
      <c r="H182" s="6" t="s">
        <v>334</v>
      </c>
      <c r="I182" s="6" t="s">
        <v>217</v>
      </c>
      <c r="J182" s="6" t="s">
        <v>495</v>
      </c>
      <c r="K182" s="18" t="n">
        <f aca="false">F182-G182</f>
        <v>8.71</v>
      </c>
      <c r="L182" s="6" t="str">
        <f aca="false">INDEX('Plan de cuentas'!$C$5:$C$55,MATCH(C182,'Plan de cuentas'!$A$5:$A$55,0))</f>
        <v>BIII2</v>
      </c>
      <c r="M182" s="6" t="str">
        <f aca="false">INDEX('Plan de cuentas'!$D$5:$D$55,MATCH(C182,'Plan de cuentas'!$A$5:$A$55,0))</f>
        <v>-</v>
      </c>
    </row>
    <row r="183" customFormat="false" ht="15" hidden="false" customHeight="false" outlineLevel="0" collapsed="false">
      <c r="A183" s="6" t="n">
        <v>74</v>
      </c>
      <c r="B183" s="29" t="n">
        <v>46203</v>
      </c>
      <c r="C183" s="34" t="s">
        <v>336</v>
      </c>
      <c r="D183" s="6" t="s">
        <v>337</v>
      </c>
      <c r="E183" s="6" t="s">
        <v>494</v>
      </c>
      <c r="F183" s="18"/>
      <c r="G183" s="18" t="n">
        <v>50.2</v>
      </c>
      <c r="H183" s="6" t="s">
        <v>334</v>
      </c>
      <c r="I183" s="6" t="s">
        <v>217</v>
      </c>
      <c r="J183" s="6" t="s">
        <v>495</v>
      </c>
      <c r="K183" s="18" t="n">
        <f aca="false">F183-G183</f>
        <v>-50.2</v>
      </c>
      <c r="L183" s="6" t="str">
        <f aca="false">INDEX('Plan de cuentas'!$C$5:$C$55,MATCH(C183,'Plan de cuentas'!$A$5:$A$55,0))</f>
        <v>PCV1</v>
      </c>
      <c r="M183" s="6" t="str">
        <f aca="false">INDEX('Plan de cuentas'!$D$5:$D$55,MATCH(C183,'Plan de cuentas'!$A$5:$A$55,0))</f>
        <v>-</v>
      </c>
    </row>
    <row r="184" customFormat="false" ht="15" hidden="false" customHeight="false" outlineLevel="0" collapsed="false">
      <c r="A184" s="6" t="n">
        <v>75</v>
      </c>
      <c r="B184" s="29" t="n">
        <v>46203</v>
      </c>
      <c r="C184" s="34" t="s">
        <v>336</v>
      </c>
      <c r="D184" s="6" t="s">
        <v>337</v>
      </c>
      <c r="E184" s="6" t="s">
        <v>497</v>
      </c>
      <c r="F184" s="18" t="n">
        <v>50.2</v>
      </c>
      <c r="G184" s="18"/>
      <c r="H184" s="6" t="s">
        <v>361</v>
      </c>
      <c r="I184" s="6" t="s">
        <v>217</v>
      </c>
      <c r="J184" s="6" t="s">
        <v>495</v>
      </c>
      <c r="K184" s="18" t="n">
        <f aca="false">F184-G184</f>
        <v>50.2</v>
      </c>
      <c r="L184" s="6" t="str">
        <f aca="false">INDEX('Plan de cuentas'!$C$5:$C$55,MATCH(C184,'Plan de cuentas'!$A$5:$A$55,0))</f>
        <v>PCV1</v>
      </c>
      <c r="M184" s="6" t="str">
        <f aca="false">INDEX('Plan de cuentas'!$D$5:$D$55,MATCH(C184,'Plan de cuentas'!$A$5:$A$55,0))</f>
        <v>-</v>
      </c>
    </row>
    <row r="185" customFormat="false" ht="15" hidden="false" customHeight="false" outlineLevel="0" collapsed="false">
      <c r="A185" s="6" t="n">
        <v>75</v>
      </c>
      <c r="B185" s="29" t="n">
        <v>46203</v>
      </c>
      <c r="C185" s="34" t="s">
        <v>308</v>
      </c>
      <c r="D185" s="6" t="s">
        <v>309</v>
      </c>
      <c r="E185" s="6" t="s">
        <v>497</v>
      </c>
      <c r="F185" s="18"/>
      <c r="G185" s="18" t="n">
        <v>50.2</v>
      </c>
      <c r="H185" s="6" t="s">
        <v>361</v>
      </c>
      <c r="I185" s="6" t="s">
        <v>217</v>
      </c>
      <c r="J185" s="6" t="s">
        <v>495</v>
      </c>
      <c r="K185" s="18" t="n">
        <f aca="false">F185-G185</f>
        <v>-50.2</v>
      </c>
      <c r="L185" s="6" t="str">
        <f aca="false">INDEX('Plan de cuentas'!$C$5:$C$55,MATCH(C185,'Plan de cuentas'!$A$5:$A$55,0))</f>
        <v>BVII</v>
      </c>
      <c r="M185" s="6" t="str">
        <f aca="false">INDEX('Plan de cuentas'!$D$5:$D$55,MATCH(C185,'Plan de cuentas'!$A$5:$A$55,0))</f>
        <v>-</v>
      </c>
    </row>
    <row r="186" customFormat="false" ht="15" hidden="false" customHeight="false" outlineLevel="0" collapsed="false">
      <c r="A186" s="6" t="n">
        <v>76</v>
      </c>
      <c r="B186" s="29" t="n">
        <v>46203</v>
      </c>
      <c r="C186" s="34" t="s">
        <v>198</v>
      </c>
      <c r="D186" s="6" t="s">
        <v>199</v>
      </c>
      <c r="E186" s="6" t="s">
        <v>417</v>
      </c>
      <c r="F186" s="18" t="n">
        <v>55.19</v>
      </c>
      <c r="G186" s="18"/>
      <c r="H186" s="6" t="s">
        <v>341</v>
      </c>
      <c r="I186" s="6" t="s">
        <v>217</v>
      </c>
      <c r="J186" s="6" t="s">
        <v>498</v>
      </c>
      <c r="K186" s="18" t="n">
        <f aca="false">F186-G186</f>
        <v>55.19</v>
      </c>
      <c r="L186" s="6" t="str">
        <f aca="false">INDEX('Plan de cuentas'!$C$5:$C$55,MATCH(C186,'Plan de cuentas'!$A$5:$A$55,0))</f>
        <v>PAVII</v>
      </c>
      <c r="M186" s="6" t="str">
        <f aca="false">INDEX('Plan de cuentas'!$D$5:$D$55,MATCH(C186,'Plan de cuentas'!$A$5:$A$55,0))</f>
        <v>P8</v>
      </c>
    </row>
    <row r="187" customFormat="false" ht="15" hidden="false" customHeight="false" outlineLevel="0" collapsed="false">
      <c r="A187" s="6" t="n">
        <v>76</v>
      </c>
      <c r="B187" s="29" t="n">
        <v>46203</v>
      </c>
      <c r="C187" s="34" t="s">
        <v>343</v>
      </c>
      <c r="D187" s="6" t="s">
        <v>344</v>
      </c>
      <c r="E187" s="6" t="s">
        <v>417</v>
      </c>
      <c r="F187" s="18"/>
      <c r="G187" s="18" t="n">
        <v>55.19</v>
      </c>
      <c r="H187" s="6" t="s">
        <v>341</v>
      </c>
      <c r="I187" s="6" t="s">
        <v>217</v>
      </c>
      <c r="J187" s="6" t="s">
        <v>498</v>
      </c>
      <c r="K187" s="18" t="n">
        <f aca="false">F187-G187</f>
        <v>-55.19</v>
      </c>
      <c r="L187" s="6" t="str">
        <f aca="false">INDEX('Plan de cuentas'!$C$5:$C$55,MATCH(C187,'Plan de cuentas'!$A$5:$A$55,0))</f>
        <v>AII3</v>
      </c>
      <c r="M187" s="6" t="str">
        <f aca="false">INDEX('Plan de cuentas'!$D$5:$D$55,MATCH(C187,'Plan de cuentas'!$A$5:$A$55,0))</f>
        <v>-</v>
      </c>
    </row>
    <row r="188" customFormat="false" ht="15" hidden="false" customHeight="false" outlineLevel="0" collapsed="false">
      <c r="A188" s="6" t="n">
        <v>77</v>
      </c>
      <c r="B188" s="29" t="n">
        <v>46203</v>
      </c>
      <c r="C188" s="34" t="s">
        <v>198</v>
      </c>
      <c r="D188" s="6" t="s">
        <v>199</v>
      </c>
      <c r="E188" s="6" t="s">
        <v>419</v>
      </c>
      <c r="F188" s="18" t="n">
        <v>120.88</v>
      </c>
      <c r="G188" s="18"/>
      <c r="H188" s="6" t="s">
        <v>341</v>
      </c>
      <c r="I188" s="6" t="s">
        <v>222</v>
      </c>
      <c r="J188" s="6" t="s">
        <v>499</v>
      </c>
      <c r="K188" s="18" t="n">
        <f aca="false">F188-G188</f>
        <v>120.88</v>
      </c>
      <c r="L188" s="6" t="str">
        <f aca="false">INDEX('Plan de cuentas'!$C$5:$C$55,MATCH(C188,'Plan de cuentas'!$A$5:$A$55,0))</f>
        <v>PAVII</v>
      </c>
      <c r="M188" s="6" t="str">
        <f aca="false">INDEX('Plan de cuentas'!$D$5:$D$55,MATCH(C188,'Plan de cuentas'!$A$5:$A$55,0))</f>
        <v>P8</v>
      </c>
    </row>
    <row r="189" customFormat="false" ht="15" hidden="false" customHeight="false" outlineLevel="0" collapsed="false">
      <c r="A189" s="6" t="n">
        <v>77</v>
      </c>
      <c r="B189" s="29" t="n">
        <v>46203</v>
      </c>
      <c r="C189" s="34" t="s">
        <v>343</v>
      </c>
      <c r="D189" s="6" t="s">
        <v>344</v>
      </c>
      <c r="E189" s="6" t="s">
        <v>419</v>
      </c>
      <c r="F189" s="18"/>
      <c r="G189" s="18" t="n">
        <v>120.88</v>
      </c>
      <c r="H189" s="6" t="s">
        <v>341</v>
      </c>
      <c r="I189" s="6" t="s">
        <v>222</v>
      </c>
      <c r="J189" s="6" t="s">
        <v>499</v>
      </c>
      <c r="K189" s="18" t="n">
        <f aca="false">F189-G189</f>
        <v>-120.88</v>
      </c>
      <c r="L189" s="6" t="str">
        <f aca="false">INDEX('Plan de cuentas'!$C$5:$C$55,MATCH(C189,'Plan de cuentas'!$A$5:$A$55,0))</f>
        <v>AII3</v>
      </c>
      <c r="M189" s="6" t="str">
        <f aca="false">INDEX('Plan de cuentas'!$D$5:$D$55,MATCH(C189,'Plan de cuentas'!$A$5:$A$55,0))</f>
        <v>-</v>
      </c>
    </row>
    <row r="190" customFormat="false" ht="15" hidden="false" customHeight="false" outlineLevel="0" collapsed="false">
      <c r="A190" s="6" t="n">
        <v>78</v>
      </c>
      <c r="B190" s="29" t="n">
        <v>46203</v>
      </c>
      <c r="C190" s="34" t="s">
        <v>395</v>
      </c>
      <c r="D190" s="6" t="s">
        <v>396</v>
      </c>
      <c r="E190" s="6" t="s">
        <v>500</v>
      </c>
      <c r="F190" s="18" t="n">
        <v>885.72</v>
      </c>
      <c r="G190" s="18"/>
      <c r="H190" s="6" t="s">
        <v>38</v>
      </c>
      <c r="I190" s="6"/>
      <c r="J190" s="6" t="s">
        <v>501</v>
      </c>
      <c r="K190" s="18" t="n">
        <f aca="false">F190-G190</f>
        <v>885.72</v>
      </c>
      <c r="L190" s="6" t="str">
        <f aca="false">INDEX('Plan de cuentas'!$C$5:$C$55,MATCH(C190,'Plan de cuentas'!$A$5:$A$55,0))</f>
        <v>PCV2</v>
      </c>
      <c r="M190" s="6" t="str">
        <f aca="false">INDEX('Plan de cuentas'!$D$5:$D$55,MATCH(C190,'Plan de cuentas'!$A$5:$A$55,0))</f>
        <v>-</v>
      </c>
    </row>
    <row r="191" customFormat="false" ht="15" hidden="false" customHeight="false" outlineLevel="0" collapsed="false">
      <c r="A191" s="6" t="n">
        <v>78</v>
      </c>
      <c r="B191" s="29" t="n">
        <v>46203</v>
      </c>
      <c r="C191" s="34" t="s">
        <v>355</v>
      </c>
      <c r="D191" s="6" t="s">
        <v>356</v>
      </c>
      <c r="E191" s="6" t="s">
        <v>500</v>
      </c>
      <c r="F191" s="18"/>
      <c r="G191" s="18" t="n">
        <v>371.69</v>
      </c>
      <c r="H191" s="6" t="s">
        <v>38</v>
      </c>
      <c r="I191" s="6"/>
      <c r="J191" s="6" t="s">
        <v>501</v>
      </c>
      <c r="K191" s="18" t="n">
        <f aca="false">F191-G191</f>
        <v>-371.69</v>
      </c>
      <c r="L191" s="6" t="str">
        <f aca="false">INDEX('Plan de cuentas'!$C$5:$C$55,MATCH(C191,'Plan de cuentas'!$A$5:$A$55,0))</f>
        <v>BIII2</v>
      </c>
      <c r="M191" s="6" t="str">
        <f aca="false">INDEX('Plan de cuentas'!$D$5:$D$55,MATCH(C191,'Plan de cuentas'!$A$5:$A$55,0))</f>
        <v>-</v>
      </c>
    </row>
    <row r="192" customFormat="false" ht="15" hidden="false" customHeight="false" outlineLevel="0" collapsed="false">
      <c r="A192" s="6" t="n">
        <v>78</v>
      </c>
      <c r="B192" s="29" t="n">
        <v>46203</v>
      </c>
      <c r="C192" s="34" t="s">
        <v>384</v>
      </c>
      <c r="D192" s="6" t="s">
        <v>385</v>
      </c>
      <c r="E192" s="6" t="s">
        <v>502</v>
      </c>
      <c r="F192" s="18"/>
      <c r="G192" s="18" t="n">
        <v>236.54</v>
      </c>
      <c r="H192" s="6" t="s">
        <v>38</v>
      </c>
      <c r="I192" s="6"/>
      <c r="J192" s="6" t="s">
        <v>501</v>
      </c>
      <c r="K192" s="18" t="n">
        <f aca="false">F192-G192</f>
        <v>-236.54</v>
      </c>
      <c r="L192" s="6" t="str">
        <f aca="false">INDEX('Plan de cuentas'!$C$5:$C$55,MATCH(C192,'Plan de cuentas'!$A$5:$A$55,0))</f>
        <v>BIII2</v>
      </c>
      <c r="M192" s="6" t="str">
        <f aca="false">INDEX('Plan de cuentas'!$D$5:$D$55,MATCH(C192,'Plan de cuentas'!$A$5:$A$55,0))</f>
        <v>-</v>
      </c>
    </row>
    <row r="193" customFormat="false" ht="15" hidden="false" customHeight="false" outlineLevel="0" collapsed="false">
      <c r="A193" s="6" t="n">
        <v>78</v>
      </c>
      <c r="B193" s="29" t="n">
        <v>46203</v>
      </c>
      <c r="C193" s="34" t="s">
        <v>503</v>
      </c>
      <c r="D193" s="6" t="s">
        <v>504</v>
      </c>
      <c r="E193" s="6" t="s">
        <v>505</v>
      </c>
      <c r="F193" s="18"/>
      <c r="G193" s="18" t="n">
        <v>277.49</v>
      </c>
      <c r="H193" s="6" t="s">
        <v>38</v>
      </c>
      <c r="I193" s="6"/>
      <c r="J193" s="6" t="s">
        <v>501</v>
      </c>
      <c r="K193" s="18" t="n">
        <f aca="false">F193-G193</f>
        <v>-277.49</v>
      </c>
      <c r="L193" s="6" t="str">
        <f aca="false">INDEX('Plan de cuentas'!$C$5:$C$55,MATCH(C193,'Plan de cuentas'!$A$5:$A$55,0))</f>
        <v>PCV2</v>
      </c>
      <c r="M193" s="6" t="str">
        <f aca="false">INDEX('Plan de cuentas'!$D$5:$D$55,MATCH(C193,'Plan de cuentas'!$A$5:$A$55,0))</f>
        <v>-</v>
      </c>
    </row>
    <row r="194" customFormat="false" ht="15" hidden="false" customHeight="false" outlineLevel="0" collapsed="false">
      <c r="A194" s="6" t="n">
        <v>79</v>
      </c>
      <c r="B194" s="29" t="n">
        <v>46210</v>
      </c>
      <c r="C194" s="34" t="s">
        <v>329</v>
      </c>
      <c r="D194" s="6" t="s">
        <v>330</v>
      </c>
      <c r="E194" s="6" t="s">
        <v>506</v>
      </c>
      <c r="F194" s="18" t="n">
        <v>1265.1</v>
      </c>
      <c r="G194" s="18"/>
      <c r="H194" s="6" t="s">
        <v>334</v>
      </c>
      <c r="I194" s="6" t="s">
        <v>233</v>
      </c>
      <c r="J194" s="6" t="s">
        <v>507</v>
      </c>
      <c r="K194" s="18" t="n">
        <f aca="false">F194-G194</f>
        <v>1265.1</v>
      </c>
      <c r="L194" s="6" t="str">
        <f aca="false">INDEX('Plan de cuentas'!$C$5:$C$55,MATCH(C194,'Plan de cuentas'!$A$5:$A$55,0))</f>
        <v>AII1</v>
      </c>
      <c r="M194" s="6" t="str">
        <f aca="false">INDEX('Plan de cuentas'!$D$5:$D$55,MATCH(C194,'Plan de cuentas'!$A$5:$A$55,0))</f>
        <v>-</v>
      </c>
    </row>
    <row r="195" customFormat="false" ht="15" hidden="false" customHeight="false" outlineLevel="0" collapsed="false">
      <c r="A195" s="6" t="n">
        <v>79</v>
      </c>
      <c r="B195" s="29" t="n">
        <v>46210</v>
      </c>
      <c r="C195" s="34" t="s">
        <v>355</v>
      </c>
      <c r="D195" s="6" t="s">
        <v>356</v>
      </c>
      <c r="E195" s="6" t="s">
        <v>508</v>
      </c>
      <c r="F195" s="18" t="n">
        <v>2818.14</v>
      </c>
      <c r="G195" s="18"/>
      <c r="H195" s="6" t="s">
        <v>334</v>
      </c>
      <c r="I195" s="6" t="s">
        <v>233</v>
      </c>
      <c r="J195" s="6" t="s">
        <v>507</v>
      </c>
      <c r="K195" s="18" t="n">
        <f aca="false">F195-G195</f>
        <v>2818.14</v>
      </c>
      <c r="L195" s="6" t="str">
        <f aca="false">INDEX('Plan de cuentas'!$C$5:$C$55,MATCH(C195,'Plan de cuentas'!$A$5:$A$55,0))</f>
        <v>BIII2</v>
      </c>
      <c r="M195" s="6" t="str">
        <f aca="false">INDEX('Plan de cuentas'!$D$5:$D$55,MATCH(C195,'Plan de cuentas'!$A$5:$A$55,0))</f>
        <v>-</v>
      </c>
    </row>
    <row r="196" customFormat="false" ht="15" hidden="false" customHeight="false" outlineLevel="0" collapsed="false">
      <c r="A196" s="6" t="n">
        <v>79</v>
      </c>
      <c r="B196" s="29" t="n">
        <v>46210</v>
      </c>
      <c r="C196" s="34" t="s">
        <v>336</v>
      </c>
      <c r="D196" s="6" t="s">
        <v>337</v>
      </c>
      <c r="E196" s="6" t="s">
        <v>506</v>
      </c>
      <c r="F196" s="18"/>
      <c r="G196" s="18" t="n">
        <v>4083.24</v>
      </c>
      <c r="H196" s="6" t="s">
        <v>334</v>
      </c>
      <c r="I196" s="6" t="s">
        <v>233</v>
      </c>
      <c r="J196" s="6" t="s">
        <v>507</v>
      </c>
      <c r="K196" s="18" t="n">
        <f aca="false">F196-G196</f>
        <v>-4083.24</v>
      </c>
      <c r="L196" s="6" t="str">
        <f aca="false">INDEX('Plan de cuentas'!$C$5:$C$55,MATCH(C196,'Plan de cuentas'!$A$5:$A$55,0))</f>
        <v>PCV1</v>
      </c>
      <c r="M196" s="6" t="str">
        <f aca="false">INDEX('Plan de cuentas'!$D$5:$D$55,MATCH(C196,'Plan de cuentas'!$A$5:$A$55,0))</f>
        <v>-</v>
      </c>
    </row>
    <row r="197" customFormat="false" ht="15" hidden="false" customHeight="false" outlineLevel="0" collapsed="false">
      <c r="A197" s="6" t="n">
        <v>80</v>
      </c>
      <c r="B197" s="29" t="n">
        <v>46210</v>
      </c>
      <c r="C197" s="34" t="s">
        <v>336</v>
      </c>
      <c r="D197" s="6" t="s">
        <v>337</v>
      </c>
      <c r="E197" s="6" t="s">
        <v>509</v>
      </c>
      <c r="F197" s="18" t="n">
        <v>4083.24</v>
      </c>
      <c r="G197" s="18"/>
      <c r="H197" s="6" t="s">
        <v>361</v>
      </c>
      <c r="I197" s="6" t="s">
        <v>233</v>
      </c>
      <c r="J197" s="6" t="s">
        <v>507</v>
      </c>
      <c r="K197" s="18" t="n">
        <f aca="false">F197-G197</f>
        <v>4083.24</v>
      </c>
      <c r="L197" s="6" t="str">
        <f aca="false">INDEX('Plan de cuentas'!$C$5:$C$55,MATCH(C197,'Plan de cuentas'!$A$5:$A$55,0))</f>
        <v>PCV1</v>
      </c>
      <c r="M197" s="6" t="str">
        <f aca="false">INDEX('Plan de cuentas'!$D$5:$D$55,MATCH(C197,'Plan de cuentas'!$A$5:$A$55,0))</f>
        <v>-</v>
      </c>
    </row>
    <row r="198" customFormat="false" ht="15" hidden="false" customHeight="false" outlineLevel="0" collapsed="false">
      <c r="A198" s="6" t="n">
        <v>80</v>
      </c>
      <c r="B198" s="29" t="n">
        <v>46210</v>
      </c>
      <c r="C198" s="34" t="s">
        <v>308</v>
      </c>
      <c r="D198" s="6" t="s">
        <v>309</v>
      </c>
      <c r="E198" s="6" t="s">
        <v>509</v>
      </c>
      <c r="F198" s="18"/>
      <c r="G198" s="18" t="n">
        <v>4083.24</v>
      </c>
      <c r="H198" s="6" t="s">
        <v>361</v>
      </c>
      <c r="I198" s="6" t="s">
        <v>233</v>
      </c>
      <c r="J198" s="6" t="s">
        <v>507</v>
      </c>
      <c r="K198" s="18" t="n">
        <f aca="false">F198-G198</f>
        <v>-4083.24</v>
      </c>
      <c r="L198" s="6" t="str">
        <f aca="false">INDEX('Plan de cuentas'!$C$5:$C$55,MATCH(C198,'Plan de cuentas'!$A$5:$A$55,0))</f>
        <v>BVII</v>
      </c>
      <c r="M198" s="6" t="str">
        <f aca="false">INDEX('Plan de cuentas'!$D$5:$D$55,MATCH(C198,'Plan de cuentas'!$A$5:$A$55,0))</f>
        <v>-</v>
      </c>
    </row>
    <row r="199" customFormat="false" ht="15" hidden="false" customHeight="false" outlineLevel="0" collapsed="false">
      <c r="A199" s="6" t="n">
        <v>81</v>
      </c>
      <c r="B199" s="29" t="n">
        <v>46230</v>
      </c>
      <c r="C199" s="34" t="s">
        <v>329</v>
      </c>
      <c r="D199" s="6" t="s">
        <v>330</v>
      </c>
      <c r="E199" s="6" t="s">
        <v>510</v>
      </c>
      <c r="F199" s="18" t="n">
        <v>730</v>
      </c>
      <c r="G199" s="18"/>
      <c r="H199" s="6" t="s">
        <v>334</v>
      </c>
      <c r="I199" s="6" t="s">
        <v>233</v>
      </c>
      <c r="J199" s="6" t="s">
        <v>511</v>
      </c>
      <c r="K199" s="18" t="n">
        <f aca="false">F199-G199</f>
        <v>730</v>
      </c>
      <c r="L199" s="6" t="str">
        <f aca="false">INDEX('Plan de cuentas'!$C$5:$C$55,MATCH(C199,'Plan de cuentas'!$A$5:$A$55,0))</f>
        <v>AII1</v>
      </c>
      <c r="M199" s="6" t="str">
        <f aca="false">INDEX('Plan de cuentas'!$D$5:$D$55,MATCH(C199,'Plan de cuentas'!$A$5:$A$55,0))</f>
        <v>-</v>
      </c>
    </row>
    <row r="200" customFormat="false" ht="15" hidden="false" customHeight="false" outlineLevel="0" collapsed="false">
      <c r="A200" s="6" t="n">
        <v>81</v>
      </c>
      <c r="B200" s="29" t="n">
        <v>46230</v>
      </c>
      <c r="C200" s="34" t="s">
        <v>355</v>
      </c>
      <c r="D200" s="6" t="s">
        <v>356</v>
      </c>
      <c r="E200" s="6" t="s">
        <v>512</v>
      </c>
      <c r="F200" s="18" t="n">
        <v>153.3</v>
      </c>
      <c r="G200" s="18"/>
      <c r="H200" s="6" t="s">
        <v>334</v>
      </c>
      <c r="I200" s="6" t="s">
        <v>233</v>
      </c>
      <c r="J200" s="6" t="s">
        <v>511</v>
      </c>
      <c r="K200" s="18" t="n">
        <f aca="false">F200-G200</f>
        <v>153.3</v>
      </c>
      <c r="L200" s="6" t="str">
        <f aca="false">INDEX('Plan de cuentas'!$C$5:$C$55,MATCH(C200,'Plan de cuentas'!$A$5:$A$55,0))</f>
        <v>BIII2</v>
      </c>
      <c r="M200" s="6" t="str">
        <f aca="false">INDEX('Plan de cuentas'!$D$5:$D$55,MATCH(C200,'Plan de cuentas'!$A$5:$A$55,0))</f>
        <v>-</v>
      </c>
    </row>
    <row r="201" customFormat="false" ht="15" hidden="false" customHeight="false" outlineLevel="0" collapsed="false">
      <c r="A201" s="6" t="n">
        <v>81</v>
      </c>
      <c r="B201" s="29" t="n">
        <v>46230</v>
      </c>
      <c r="C201" s="34" t="s">
        <v>336</v>
      </c>
      <c r="D201" s="6" t="s">
        <v>337</v>
      </c>
      <c r="E201" s="6" t="s">
        <v>510</v>
      </c>
      <c r="F201" s="18"/>
      <c r="G201" s="18" t="n">
        <v>883.3</v>
      </c>
      <c r="H201" s="6" t="s">
        <v>334</v>
      </c>
      <c r="I201" s="6" t="s">
        <v>233</v>
      </c>
      <c r="J201" s="6" t="s">
        <v>511</v>
      </c>
      <c r="K201" s="18" t="n">
        <f aca="false">F201-G201</f>
        <v>-883.3</v>
      </c>
      <c r="L201" s="6" t="str">
        <f aca="false">INDEX('Plan de cuentas'!$C$5:$C$55,MATCH(C201,'Plan de cuentas'!$A$5:$A$55,0))</f>
        <v>PCV1</v>
      </c>
      <c r="M201" s="6" t="str">
        <f aca="false">INDEX('Plan de cuentas'!$D$5:$D$55,MATCH(C201,'Plan de cuentas'!$A$5:$A$55,0))</f>
        <v>-</v>
      </c>
    </row>
    <row r="202" customFormat="false" ht="15" hidden="false" customHeight="false" outlineLevel="0" collapsed="false">
      <c r="A202" s="6" t="n">
        <v>82</v>
      </c>
      <c r="B202" s="29" t="n">
        <v>46230</v>
      </c>
      <c r="C202" s="34" t="s">
        <v>190</v>
      </c>
      <c r="D202" s="6" t="s">
        <v>191</v>
      </c>
      <c r="E202" s="6" t="s">
        <v>513</v>
      </c>
      <c r="F202" s="18" t="n">
        <v>947</v>
      </c>
      <c r="G202" s="18"/>
      <c r="H202" s="6" t="s">
        <v>334</v>
      </c>
      <c r="I202" s="6" t="s">
        <v>233</v>
      </c>
      <c r="J202" s="6" t="s">
        <v>511</v>
      </c>
      <c r="K202" s="18" t="n">
        <f aca="false">F202-G202</f>
        <v>947</v>
      </c>
      <c r="L202" s="6" t="str">
        <f aca="false">INDEX('Plan de cuentas'!$C$5:$C$55,MATCH(C202,'Plan de cuentas'!$A$5:$A$55,0))</f>
        <v>PAVII</v>
      </c>
      <c r="M202" s="6" t="str">
        <f aca="false">INDEX('Plan de cuentas'!$D$5:$D$55,MATCH(C202,'Plan de cuentas'!$A$5:$A$55,0))</f>
        <v>P7a</v>
      </c>
    </row>
    <row r="203" customFormat="false" ht="15" hidden="false" customHeight="false" outlineLevel="0" collapsed="false">
      <c r="A203" s="6" t="n">
        <v>82</v>
      </c>
      <c r="B203" s="29" t="n">
        <v>46230</v>
      </c>
      <c r="C203" s="34" t="s">
        <v>355</v>
      </c>
      <c r="D203" s="6" t="s">
        <v>356</v>
      </c>
      <c r="E203" s="6" t="s">
        <v>512</v>
      </c>
      <c r="F203" s="18" t="n">
        <v>198.87</v>
      </c>
      <c r="G203" s="18"/>
      <c r="H203" s="6" t="s">
        <v>334</v>
      </c>
      <c r="I203" s="6" t="s">
        <v>233</v>
      </c>
      <c r="J203" s="6" t="s">
        <v>511</v>
      </c>
      <c r="K203" s="18" t="n">
        <f aca="false">F203-G203</f>
        <v>198.87</v>
      </c>
      <c r="L203" s="6" t="str">
        <f aca="false">INDEX('Plan de cuentas'!$C$5:$C$55,MATCH(C203,'Plan de cuentas'!$A$5:$A$55,0))</f>
        <v>BIII2</v>
      </c>
      <c r="M203" s="6" t="str">
        <f aca="false">INDEX('Plan de cuentas'!$D$5:$D$55,MATCH(C203,'Plan de cuentas'!$A$5:$A$55,0))</f>
        <v>-</v>
      </c>
    </row>
    <row r="204" customFormat="false" ht="15" hidden="false" customHeight="false" outlineLevel="0" collapsed="false">
      <c r="A204" s="6" t="n">
        <v>82</v>
      </c>
      <c r="B204" s="29" t="n">
        <v>46230</v>
      </c>
      <c r="C204" s="34" t="s">
        <v>336</v>
      </c>
      <c r="D204" s="6" t="s">
        <v>337</v>
      </c>
      <c r="E204" s="6" t="s">
        <v>513</v>
      </c>
      <c r="F204" s="18"/>
      <c r="G204" s="18" t="n">
        <v>1145.87</v>
      </c>
      <c r="H204" s="6" t="s">
        <v>334</v>
      </c>
      <c r="I204" s="6" t="s">
        <v>233</v>
      </c>
      <c r="J204" s="6" t="s">
        <v>511</v>
      </c>
      <c r="K204" s="18" t="n">
        <f aca="false">F204-G204</f>
        <v>-1145.87</v>
      </c>
      <c r="L204" s="6" t="str">
        <f aca="false">INDEX('Plan de cuentas'!$C$5:$C$55,MATCH(C204,'Plan de cuentas'!$A$5:$A$55,0))</f>
        <v>PCV1</v>
      </c>
      <c r="M204" s="6" t="str">
        <f aca="false">INDEX('Plan de cuentas'!$D$5:$D$55,MATCH(C204,'Plan de cuentas'!$A$5:$A$55,0))</f>
        <v>-</v>
      </c>
    </row>
    <row r="205" customFormat="false" ht="15" hidden="false" customHeight="false" outlineLevel="0" collapsed="false">
      <c r="A205" s="6" t="n">
        <v>83</v>
      </c>
      <c r="B205" s="29" t="n">
        <v>46230</v>
      </c>
      <c r="C205" s="34" t="s">
        <v>336</v>
      </c>
      <c r="D205" s="6" t="s">
        <v>337</v>
      </c>
      <c r="E205" s="6" t="s">
        <v>514</v>
      </c>
      <c r="F205" s="18" t="n">
        <v>883.3</v>
      </c>
      <c r="G205" s="18"/>
      <c r="H205" s="6" t="s">
        <v>361</v>
      </c>
      <c r="I205" s="6" t="s">
        <v>233</v>
      </c>
      <c r="J205" s="6" t="s">
        <v>511</v>
      </c>
      <c r="K205" s="18" t="n">
        <f aca="false">F205-G205</f>
        <v>883.3</v>
      </c>
      <c r="L205" s="6" t="str">
        <f aca="false">INDEX('Plan de cuentas'!$C$5:$C$55,MATCH(C205,'Plan de cuentas'!$A$5:$A$55,0))</f>
        <v>PCV1</v>
      </c>
      <c r="M205" s="6" t="str">
        <f aca="false">INDEX('Plan de cuentas'!$D$5:$D$55,MATCH(C205,'Plan de cuentas'!$A$5:$A$55,0))</f>
        <v>-</v>
      </c>
    </row>
    <row r="206" customFormat="false" ht="15" hidden="false" customHeight="false" outlineLevel="0" collapsed="false">
      <c r="A206" s="6" t="n">
        <v>83</v>
      </c>
      <c r="B206" s="29" t="n">
        <v>46230</v>
      </c>
      <c r="C206" s="34" t="s">
        <v>308</v>
      </c>
      <c r="D206" s="6" t="s">
        <v>309</v>
      </c>
      <c r="E206" s="6" t="s">
        <v>514</v>
      </c>
      <c r="F206" s="18"/>
      <c r="G206" s="18" t="n">
        <v>883.3</v>
      </c>
      <c r="H206" s="6" t="s">
        <v>361</v>
      </c>
      <c r="I206" s="6" t="s">
        <v>233</v>
      </c>
      <c r="J206" s="6" t="s">
        <v>511</v>
      </c>
      <c r="K206" s="18" t="n">
        <f aca="false">F206-G206</f>
        <v>-883.3</v>
      </c>
      <c r="L206" s="6" t="str">
        <f aca="false">INDEX('Plan de cuentas'!$C$5:$C$55,MATCH(C206,'Plan de cuentas'!$A$5:$A$55,0))</f>
        <v>BVII</v>
      </c>
      <c r="M206" s="6" t="str">
        <f aca="false">INDEX('Plan de cuentas'!$D$5:$D$55,MATCH(C206,'Plan de cuentas'!$A$5:$A$55,0))</f>
        <v>-</v>
      </c>
    </row>
    <row r="207" customFormat="false" ht="15" hidden="false" customHeight="false" outlineLevel="0" collapsed="false">
      <c r="A207" s="6" t="n">
        <v>84</v>
      </c>
      <c r="B207" s="29" t="n">
        <v>46230</v>
      </c>
      <c r="C207" s="34" t="s">
        <v>336</v>
      </c>
      <c r="D207" s="6" t="s">
        <v>337</v>
      </c>
      <c r="E207" s="6" t="s">
        <v>514</v>
      </c>
      <c r="F207" s="18" t="n">
        <v>1145.87</v>
      </c>
      <c r="G207" s="18"/>
      <c r="H207" s="6" t="s">
        <v>361</v>
      </c>
      <c r="I207" s="6" t="s">
        <v>233</v>
      </c>
      <c r="J207" s="6" t="s">
        <v>511</v>
      </c>
      <c r="K207" s="18" t="n">
        <f aca="false">F207-G207</f>
        <v>1145.87</v>
      </c>
      <c r="L207" s="6" t="str">
        <f aca="false">INDEX('Plan de cuentas'!$C$5:$C$55,MATCH(C207,'Plan de cuentas'!$A$5:$A$55,0))</f>
        <v>PCV1</v>
      </c>
      <c r="M207" s="6" t="str">
        <f aca="false">INDEX('Plan de cuentas'!$D$5:$D$55,MATCH(C207,'Plan de cuentas'!$A$5:$A$55,0))</f>
        <v>-</v>
      </c>
    </row>
    <row r="208" customFormat="false" ht="15" hidden="false" customHeight="false" outlineLevel="0" collapsed="false">
      <c r="A208" s="6" t="n">
        <v>84</v>
      </c>
      <c r="B208" s="29" t="n">
        <v>46230</v>
      </c>
      <c r="C208" s="34" t="s">
        <v>308</v>
      </c>
      <c r="D208" s="6" t="s">
        <v>309</v>
      </c>
      <c r="E208" s="6" t="s">
        <v>514</v>
      </c>
      <c r="F208" s="18"/>
      <c r="G208" s="18" t="n">
        <v>1145.87</v>
      </c>
      <c r="H208" s="6" t="s">
        <v>361</v>
      </c>
      <c r="I208" s="6" t="s">
        <v>233</v>
      </c>
      <c r="J208" s="6" t="s">
        <v>511</v>
      </c>
      <c r="K208" s="18" t="n">
        <f aca="false">F208-G208</f>
        <v>-1145.87</v>
      </c>
      <c r="L208" s="6" t="str">
        <f aca="false">INDEX('Plan de cuentas'!$C$5:$C$55,MATCH(C208,'Plan de cuentas'!$A$5:$A$55,0))</f>
        <v>BVII</v>
      </c>
      <c r="M208" s="6" t="str">
        <f aca="false">INDEX('Plan de cuentas'!$D$5:$D$55,MATCH(C208,'Plan de cuentas'!$A$5:$A$55,0))</f>
        <v>-</v>
      </c>
    </row>
    <row r="209" customFormat="false" ht="15" hidden="false" customHeight="false" outlineLevel="0" collapsed="false">
      <c r="A209" s="6" t="n">
        <v>85</v>
      </c>
      <c r="B209" s="29" t="n">
        <v>46234</v>
      </c>
      <c r="C209" s="34" t="s">
        <v>198</v>
      </c>
      <c r="D209" s="6" t="s">
        <v>199</v>
      </c>
      <c r="E209" s="6" t="s">
        <v>377</v>
      </c>
      <c r="F209" s="18" t="n">
        <v>57.03</v>
      </c>
      <c r="G209" s="18"/>
      <c r="H209" s="6" t="s">
        <v>341</v>
      </c>
      <c r="I209" s="6" t="s">
        <v>217</v>
      </c>
      <c r="J209" s="6" t="s">
        <v>515</v>
      </c>
      <c r="K209" s="18" t="n">
        <f aca="false">F209-G209</f>
        <v>57.03</v>
      </c>
      <c r="L209" s="6" t="str">
        <f aca="false">INDEX('Plan de cuentas'!$C$5:$C$55,MATCH(C209,'Plan de cuentas'!$A$5:$A$55,0))</f>
        <v>PAVII</v>
      </c>
      <c r="M209" s="6" t="str">
        <f aca="false">INDEX('Plan de cuentas'!$D$5:$D$55,MATCH(C209,'Plan de cuentas'!$A$5:$A$55,0))</f>
        <v>P8</v>
      </c>
    </row>
    <row r="210" customFormat="false" ht="15" hidden="false" customHeight="false" outlineLevel="0" collapsed="false">
      <c r="A210" s="6" t="n">
        <v>85</v>
      </c>
      <c r="B210" s="29" t="n">
        <v>46234</v>
      </c>
      <c r="C210" s="34" t="s">
        <v>343</v>
      </c>
      <c r="D210" s="6" t="s">
        <v>344</v>
      </c>
      <c r="E210" s="6" t="s">
        <v>377</v>
      </c>
      <c r="F210" s="18"/>
      <c r="G210" s="18" t="n">
        <v>57.03</v>
      </c>
      <c r="H210" s="6" t="s">
        <v>341</v>
      </c>
      <c r="I210" s="6" t="s">
        <v>217</v>
      </c>
      <c r="J210" s="6" t="s">
        <v>515</v>
      </c>
      <c r="K210" s="18" t="n">
        <f aca="false">F210-G210</f>
        <v>-57.03</v>
      </c>
      <c r="L210" s="6" t="str">
        <f aca="false">INDEX('Plan de cuentas'!$C$5:$C$55,MATCH(C210,'Plan de cuentas'!$A$5:$A$55,0))</f>
        <v>AII3</v>
      </c>
      <c r="M210" s="6" t="str">
        <f aca="false">INDEX('Plan de cuentas'!$D$5:$D$55,MATCH(C210,'Plan de cuentas'!$A$5:$A$55,0))</f>
        <v>-</v>
      </c>
    </row>
    <row r="211" customFormat="false" ht="15" hidden="false" customHeight="false" outlineLevel="0" collapsed="false">
      <c r="A211" s="6" t="n">
        <v>86</v>
      </c>
      <c r="B211" s="29" t="n">
        <v>46234</v>
      </c>
      <c r="C211" s="34" t="s">
        <v>198</v>
      </c>
      <c r="D211" s="6" t="s">
        <v>199</v>
      </c>
      <c r="E211" s="6" t="s">
        <v>340</v>
      </c>
      <c r="F211" s="18" t="n">
        <v>124.91</v>
      </c>
      <c r="G211" s="18"/>
      <c r="H211" s="6" t="s">
        <v>341</v>
      </c>
      <c r="I211" s="6" t="s">
        <v>222</v>
      </c>
      <c r="J211" s="6" t="s">
        <v>516</v>
      </c>
      <c r="K211" s="18" t="n">
        <f aca="false">F211-G211</f>
        <v>124.91</v>
      </c>
      <c r="L211" s="6" t="str">
        <f aca="false">INDEX('Plan de cuentas'!$C$5:$C$55,MATCH(C211,'Plan de cuentas'!$A$5:$A$55,0))</f>
        <v>PAVII</v>
      </c>
      <c r="M211" s="6" t="str">
        <f aca="false">INDEX('Plan de cuentas'!$D$5:$D$55,MATCH(C211,'Plan de cuentas'!$A$5:$A$55,0))</f>
        <v>P8</v>
      </c>
    </row>
    <row r="212" customFormat="false" ht="15" hidden="false" customHeight="false" outlineLevel="0" collapsed="false">
      <c r="A212" s="6" t="n">
        <v>86</v>
      </c>
      <c r="B212" s="29" t="n">
        <v>46234</v>
      </c>
      <c r="C212" s="34" t="s">
        <v>343</v>
      </c>
      <c r="D212" s="6" t="s">
        <v>344</v>
      </c>
      <c r="E212" s="6" t="s">
        <v>340</v>
      </c>
      <c r="F212" s="18"/>
      <c r="G212" s="18" t="n">
        <v>124.91</v>
      </c>
      <c r="H212" s="6" t="s">
        <v>341</v>
      </c>
      <c r="I212" s="6" t="s">
        <v>222</v>
      </c>
      <c r="J212" s="6" t="s">
        <v>516</v>
      </c>
      <c r="K212" s="18" t="n">
        <f aca="false">F212-G212</f>
        <v>-124.91</v>
      </c>
      <c r="L212" s="6" t="str">
        <f aca="false">INDEX('Plan de cuentas'!$C$5:$C$55,MATCH(C212,'Plan de cuentas'!$A$5:$A$55,0))</f>
        <v>AII3</v>
      </c>
      <c r="M212" s="6" t="str">
        <f aca="false">INDEX('Plan de cuentas'!$D$5:$D$55,MATCH(C212,'Plan de cuentas'!$A$5:$A$55,0))</f>
        <v>-</v>
      </c>
    </row>
    <row r="213" customFormat="false" ht="15" hidden="false" customHeight="false" outlineLevel="0" collapsed="false">
      <c r="A213" s="6" t="n">
        <v>87</v>
      </c>
      <c r="B213" s="29" t="n">
        <v>46265</v>
      </c>
      <c r="C213" s="34" t="s">
        <v>198</v>
      </c>
      <c r="D213" s="6" t="s">
        <v>199</v>
      </c>
      <c r="E213" s="6" t="s">
        <v>377</v>
      </c>
      <c r="F213" s="18" t="n">
        <v>57.03</v>
      </c>
      <c r="G213" s="18"/>
      <c r="H213" s="6" t="s">
        <v>341</v>
      </c>
      <c r="I213" s="6" t="s">
        <v>217</v>
      </c>
      <c r="J213" s="6" t="s">
        <v>517</v>
      </c>
      <c r="K213" s="18" t="n">
        <f aca="false">F213-G213</f>
        <v>57.03</v>
      </c>
      <c r="L213" s="6" t="str">
        <f aca="false">INDEX('Plan de cuentas'!$C$5:$C$55,MATCH(C213,'Plan de cuentas'!$A$5:$A$55,0))</f>
        <v>PAVII</v>
      </c>
      <c r="M213" s="6" t="str">
        <f aca="false">INDEX('Plan de cuentas'!$D$5:$D$55,MATCH(C213,'Plan de cuentas'!$A$5:$A$55,0))</f>
        <v>P8</v>
      </c>
    </row>
    <row r="214" customFormat="false" ht="15" hidden="false" customHeight="false" outlineLevel="0" collapsed="false">
      <c r="A214" s="6" t="n">
        <v>87</v>
      </c>
      <c r="B214" s="29" t="n">
        <v>46265</v>
      </c>
      <c r="C214" s="34" t="s">
        <v>343</v>
      </c>
      <c r="D214" s="6" t="s">
        <v>344</v>
      </c>
      <c r="E214" s="6" t="s">
        <v>377</v>
      </c>
      <c r="F214" s="18"/>
      <c r="G214" s="18" t="n">
        <v>57.03</v>
      </c>
      <c r="H214" s="6" t="s">
        <v>341</v>
      </c>
      <c r="I214" s="6" t="s">
        <v>217</v>
      </c>
      <c r="J214" s="6" t="s">
        <v>517</v>
      </c>
      <c r="K214" s="18" t="n">
        <f aca="false">F214-G214</f>
        <v>-57.03</v>
      </c>
      <c r="L214" s="6" t="str">
        <f aca="false">INDEX('Plan de cuentas'!$C$5:$C$55,MATCH(C214,'Plan de cuentas'!$A$5:$A$55,0))</f>
        <v>AII3</v>
      </c>
      <c r="M214" s="6" t="str">
        <f aca="false">INDEX('Plan de cuentas'!$D$5:$D$55,MATCH(C214,'Plan de cuentas'!$A$5:$A$55,0))</f>
        <v>-</v>
      </c>
    </row>
    <row r="215" customFormat="false" ht="15" hidden="false" customHeight="false" outlineLevel="0" collapsed="false">
      <c r="A215" s="6" t="n">
        <v>88</v>
      </c>
      <c r="B215" s="29" t="n">
        <v>46265</v>
      </c>
      <c r="C215" s="34" t="s">
        <v>198</v>
      </c>
      <c r="D215" s="6" t="s">
        <v>199</v>
      </c>
      <c r="E215" s="6" t="s">
        <v>340</v>
      </c>
      <c r="F215" s="18" t="n">
        <v>124.91</v>
      </c>
      <c r="G215" s="18"/>
      <c r="H215" s="6" t="s">
        <v>341</v>
      </c>
      <c r="I215" s="6" t="s">
        <v>222</v>
      </c>
      <c r="J215" s="6" t="s">
        <v>518</v>
      </c>
      <c r="K215" s="18" t="n">
        <f aca="false">F215-G215</f>
        <v>124.91</v>
      </c>
      <c r="L215" s="6" t="str">
        <f aca="false">INDEX('Plan de cuentas'!$C$5:$C$55,MATCH(C215,'Plan de cuentas'!$A$5:$A$55,0))</f>
        <v>PAVII</v>
      </c>
      <c r="M215" s="6" t="str">
        <f aca="false">INDEX('Plan de cuentas'!$D$5:$D$55,MATCH(C215,'Plan de cuentas'!$A$5:$A$55,0))</f>
        <v>P8</v>
      </c>
    </row>
    <row r="216" customFormat="false" ht="15" hidden="false" customHeight="false" outlineLevel="0" collapsed="false">
      <c r="A216" s="6" t="n">
        <v>88</v>
      </c>
      <c r="B216" s="29" t="n">
        <v>46265</v>
      </c>
      <c r="C216" s="34" t="s">
        <v>343</v>
      </c>
      <c r="D216" s="6" t="s">
        <v>344</v>
      </c>
      <c r="E216" s="6" t="s">
        <v>340</v>
      </c>
      <c r="F216" s="18"/>
      <c r="G216" s="18" t="n">
        <v>124.91</v>
      </c>
      <c r="H216" s="6" t="s">
        <v>341</v>
      </c>
      <c r="I216" s="6" t="s">
        <v>222</v>
      </c>
      <c r="J216" s="6" t="s">
        <v>518</v>
      </c>
      <c r="K216" s="18" t="n">
        <f aca="false">F216-G216</f>
        <v>-124.91</v>
      </c>
      <c r="L216" s="6" t="str">
        <f aca="false">INDEX('Plan de cuentas'!$C$5:$C$55,MATCH(C216,'Plan de cuentas'!$A$5:$A$55,0))</f>
        <v>AII3</v>
      </c>
      <c r="M216" s="6" t="str">
        <f aca="false">INDEX('Plan de cuentas'!$D$5:$D$55,MATCH(C216,'Plan de cuentas'!$A$5:$A$55,0))</f>
        <v>-</v>
      </c>
    </row>
    <row r="217" customFormat="false" ht="15" hidden="false" customHeight="false" outlineLevel="0" collapsed="false">
      <c r="A217" s="6" t="n">
        <v>89</v>
      </c>
      <c r="B217" s="29" t="n">
        <v>46279</v>
      </c>
      <c r="C217" s="34" t="s">
        <v>196</v>
      </c>
      <c r="D217" s="6" t="s">
        <v>197</v>
      </c>
      <c r="E217" s="6" t="s">
        <v>519</v>
      </c>
      <c r="F217" s="18" t="n">
        <v>286.38</v>
      </c>
      <c r="G217" s="18"/>
      <c r="H217" s="6" t="s">
        <v>334</v>
      </c>
      <c r="I217" s="6" t="s">
        <v>233</v>
      </c>
      <c r="J217" s="6" t="s">
        <v>520</v>
      </c>
      <c r="K217" s="18" t="n">
        <f aca="false">F217-G217</f>
        <v>286.38</v>
      </c>
      <c r="L217" s="6" t="str">
        <f aca="false">INDEX('Plan de cuentas'!$C$5:$C$55,MATCH(C217,'Plan de cuentas'!$A$5:$A$55,0))</f>
        <v>PAVII</v>
      </c>
      <c r="M217" s="6" t="str">
        <f aca="false">INDEX('Plan de cuentas'!$D$5:$D$55,MATCH(C217,'Plan de cuentas'!$A$5:$A$55,0))</f>
        <v>P12</v>
      </c>
    </row>
    <row r="218" customFormat="false" ht="15" hidden="false" customHeight="false" outlineLevel="0" collapsed="false">
      <c r="A218" s="6" t="n">
        <v>89</v>
      </c>
      <c r="B218" s="29" t="n">
        <v>46279</v>
      </c>
      <c r="C218" s="34" t="s">
        <v>336</v>
      </c>
      <c r="D218" s="6" t="s">
        <v>337</v>
      </c>
      <c r="E218" s="6" t="s">
        <v>519</v>
      </c>
      <c r="F218" s="18"/>
      <c r="G218" s="18" t="n">
        <v>286.38</v>
      </c>
      <c r="H218" s="6" t="s">
        <v>334</v>
      </c>
      <c r="I218" s="6" t="s">
        <v>233</v>
      </c>
      <c r="J218" s="6" t="s">
        <v>520</v>
      </c>
      <c r="K218" s="18" t="n">
        <f aca="false">F218-G218</f>
        <v>-286.38</v>
      </c>
      <c r="L218" s="6" t="str">
        <f aca="false">INDEX('Plan de cuentas'!$C$5:$C$55,MATCH(C218,'Plan de cuentas'!$A$5:$A$55,0))</f>
        <v>PCV1</v>
      </c>
      <c r="M218" s="6" t="str">
        <f aca="false">INDEX('Plan de cuentas'!$D$5:$D$55,MATCH(C218,'Plan de cuentas'!$A$5:$A$55,0))</f>
        <v>-</v>
      </c>
    </row>
    <row r="219" customFormat="false" ht="15" hidden="false" customHeight="false" outlineLevel="0" collapsed="false">
      <c r="A219" s="6" t="n">
        <v>90</v>
      </c>
      <c r="B219" s="29" t="n">
        <v>46279</v>
      </c>
      <c r="C219" s="34" t="s">
        <v>336</v>
      </c>
      <c r="D219" s="6" t="s">
        <v>337</v>
      </c>
      <c r="E219" s="6" t="s">
        <v>521</v>
      </c>
      <c r="F219" s="18" t="n">
        <v>286.38</v>
      </c>
      <c r="G219" s="18"/>
      <c r="H219" s="6" t="s">
        <v>361</v>
      </c>
      <c r="I219" s="6" t="s">
        <v>233</v>
      </c>
      <c r="J219" s="6" t="s">
        <v>520</v>
      </c>
      <c r="K219" s="18" t="n">
        <f aca="false">F219-G219</f>
        <v>286.38</v>
      </c>
      <c r="L219" s="6" t="str">
        <f aca="false">INDEX('Plan de cuentas'!$C$5:$C$55,MATCH(C219,'Plan de cuentas'!$A$5:$A$55,0))</f>
        <v>PCV1</v>
      </c>
      <c r="M219" s="6" t="str">
        <f aca="false">INDEX('Plan de cuentas'!$D$5:$D$55,MATCH(C219,'Plan de cuentas'!$A$5:$A$55,0))</f>
        <v>-</v>
      </c>
    </row>
    <row r="220" customFormat="false" ht="15" hidden="false" customHeight="false" outlineLevel="0" collapsed="false">
      <c r="A220" s="6" t="n">
        <v>90</v>
      </c>
      <c r="B220" s="29" t="n">
        <v>46279</v>
      </c>
      <c r="C220" s="34" t="s">
        <v>308</v>
      </c>
      <c r="D220" s="6" t="s">
        <v>309</v>
      </c>
      <c r="E220" s="6" t="s">
        <v>521</v>
      </c>
      <c r="F220" s="18"/>
      <c r="G220" s="18" t="n">
        <v>286.38</v>
      </c>
      <c r="H220" s="6" t="s">
        <v>361</v>
      </c>
      <c r="I220" s="6" t="s">
        <v>233</v>
      </c>
      <c r="J220" s="6" t="s">
        <v>520</v>
      </c>
      <c r="K220" s="18" t="n">
        <f aca="false">F220-G220</f>
        <v>-286.38</v>
      </c>
      <c r="L220" s="6" t="str">
        <f aca="false">INDEX('Plan de cuentas'!$C$5:$C$55,MATCH(C220,'Plan de cuentas'!$A$5:$A$55,0))</f>
        <v>BVII</v>
      </c>
      <c r="M220" s="6" t="str">
        <f aca="false">INDEX('Plan de cuentas'!$D$5:$D$55,MATCH(C220,'Plan de cuentas'!$A$5:$A$55,0))</f>
        <v>-</v>
      </c>
    </row>
    <row r="221" customFormat="false" ht="15" hidden="false" customHeight="false" outlineLevel="0" collapsed="false">
      <c r="A221" s="6" t="n">
        <v>91</v>
      </c>
      <c r="B221" s="29" t="n">
        <v>46283</v>
      </c>
      <c r="C221" s="34" t="s">
        <v>182</v>
      </c>
      <c r="D221" s="6" t="s">
        <v>183</v>
      </c>
      <c r="E221" s="6" t="s">
        <v>522</v>
      </c>
      <c r="F221" s="18" t="n">
        <v>676.17</v>
      </c>
      <c r="G221" s="18"/>
      <c r="H221" s="6" t="s">
        <v>334</v>
      </c>
      <c r="I221" s="6" t="s">
        <v>217</v>
      </c>
      <c r="J221" s="6" t="s">
        <v>523</v>
      </c>
      <c r="K221" s="18" t="n">
        <f aca="false">F221-G221</f>
        <v>676.17</v>
      </c>
      <c r="L221" s="6" t="str">
        <f aca="false">INDEX('Plan de cuentas'!$C$5:$C$55,MATCH(C221,'Plan de cuentas'!$A$5:$A$55,0))</f>
        <v>PAVII</v>
      </c>
      <c r="M221" s="6" t="str">
        <f aca="false">INDEX('Plan de cuentas'!$D$5:$D$55,MATCH(C221,'Plan de cuentas'!$A$5:$A$55,0))</f>
        <v>P7a</v>
      </c>
    </row>
    <row r="222" customFormat="false" ht="15" hidden="false" customHeight="false" outlineLevel="0" collapsed="false">
      <c r="A222" s="6" t="n">
        <v>91</v>
      </c>
      <c r="B222" s="29" t="n">
        <v>46283</v>
      </c>
      <c r="C222" s="34" t="s">
        <v>355</v>
      </c>
      <c r="D222" s="6" t="s">
        <v>356</v>
      </c>
      <c r="E222" s="6" t="s">
        <v>524</v>
      </c>
      <c r="F222" s="18" t="n">
        <v>142</v>
      </c>
      <c r="G222" s="18"/>
      <c r="H222" s="6" t="s">
        <v>334</v>
      </c>
      <c r="I222" s="6" t="s">
        <v>217</v>
      </c>
      <c r="J222" s="6" t="s">
        <v>523</v>
      </c>
      <c r="K222" s="18" t="n">
        <f aca="false">F222-G222</f>
        <v>142</v>
      </c>
      <c r="L222" s="6" t="str">
        <f aca="false">INDEX('Plan de cuentas'!$C$5:$C$55,MATCH(C222,'Plan de cuentas'!$A$5:$A$55,0))</f>
        <v>BIII2</v>
      </c>
      <c r="M222" s="6" t="str">
        <f aca="false">INDEX('Plan de cuentas'!$D$5:$D$55,MATCH(C222,'Plan de cuentas'!$A$5:$A$55,0))</f>
        <v>-</v>
      </c>
    </row>
    <row r="223" customFormat="false" ht="15" hidden="false" customHeight="false" outlineLevel="0" collapsed="false">
      <c r="A223" s="6" t="n">
        <v>91</v>
      </c>
      <c r="B223" s="29" t="n">
        <v>46283</v>
      </c>
      <c r="C223" s="34" t="s">
        <v>336</v>
      </c>
      <c r="D223" s="6" t="s">
        <v>337</v>
      </c>
      <c r="E223" s="6" t="s">
        <v>522</v>
      </c>
      <c r="F223" s="18"/>
      <c r="G223" s="18" t="n">
        <v>818.17</v>
      </c>
      <c r="H223" s="6" t="s">
        <v>334</v>
      </c>
      <c r="I223" s="6" t="s">
        <v>217</v>
      </c>
      <c r="J223" s="6" t="s">
        <v>523</v>
      </c>
      <c r="K223" s="18" t="n">
        <f aca="false">F223-G223</f>
        <v>-818.17</v>
      </c>
      <c r="L223" s="6" t="str">
        <f aca="false">INDEX('Plan de cuentas'!$C$5:$C$55,MATCH(C223,'Plan de cuentas'!$A$5:$A$55,0))</f>
        <v>PCV1</v>
      </c>
      <c r="M223" s="6" t="str">
        <f aca="false">INDEX('Plan de cuentas'!$D$5:$D$55,MATCH(C223,'Plan de cuentas'!$A$5:$A$55,0))</f>
        <v>-</v>
      </c>
    </row>
    <row r="224" customFormat="false" ht="15" hidden="false" customHeight="false" outlineLevel="0" collapsed="false">
      <c r="A224" s="6" t="n">
        <v>92</v>
      </c>
      <c r="B224" s="29" t="n">
        <v>46283</v>
      </c>
      <c r="C224" s="34" t="s">
        <v>336</v>
      </c>
      <c r="D224" s="6" t="s">
        <v>337</v>
      </c>
      <c r="E224" s="6" t="s">
        <v>525</v>
      </c>
      <c r="F224" s="18" t="n">
        <v>818.17</v>
      </c>
      <c r="G224" s="18"/>
      <c r="H224" s="6" t="s">
        <v>361</v>
      </c>
      <c r="I224" s="6" t="s">
        <v>217</v>
      </c>
      <c r="J224" s="6" t="s">
        <v>523</v>
      </c>
      <c r="K224" s="18" t="n">
        <f aca="false">F224-G224</f>
        <v>818.17</v>
      </c>
      <c r="L224" s="6" t="str">
        <f aca="false">INDEX('Plan de cuentas'!$C$5:$C$55,MATCH(C224,'Plan de cuentas'!$A$5:$A$55,0))</f>
        <v>PCV1</v>
      </c>
      <c r="M224" s="6" t="str">
        <f aca="false">INDEX('Plan de cuentas'!$D$5:$D$55,MATCH(C224,'Plan de cuentas'!$A$5:$A$55,0))</f>
        <v>-</v>
      </c>
    </row>
    <row r="225" customFormat="false" ht="15" hidden="false" customHeight="false" outlineLevel="0" collapsed="false">
      <c r="A225" s="6" t="n">
        <v>92</v>
      </c>
      <c r="B225" s="29" t="n">
        <v>46283</v>
      </c>
      <c r="C225" s="34" t="s">
        <v>308</v>
      </c>
      <c r="D225" s="6" t="s">
        <v>309</v>
      </c>
      <c r="E225" s="6" t="s">
        <v>525</v>
      </c>
      <c r="F225" s="18"/>
      <c r="G225" s="18" t="n">
        <v>818.17</v>
      </c>
      <c r="H225" s="6" t="s">
        <v>361</v>
      </c>
      <c r="I225" s="6" t="s">
        <v>217</v>
      </c>
      <c r="J225" s="6" t="s">
        <v>523</v>
      </c>
      <c r="K225" s="18" t="n">
        <f aca="false">F225-G225</f>
        <v>-818.17</v>
      </c>
      <c r="L225" s="6" t="str">
        <f aca="false">INDEX('Plan de cuentas'!$C$5:$C$55,MATCH(C225,'Plan de cuentas'!$A$5:$A$55,0))</f>
        <v>BVII</v>
      </c>
      <c r="M225" s="6" t="str">
        <f aca="false">INDEX('Plan de cuentas'!$D$5:$D$55,MATCH(C225,'Plan de cuentas'!$A$5:$A$55,0))</f>
        <v>-</v>
      </c>
    </row>
    <row r="226" customFormat="false" ht="15" hidden="false" customHeight="false" outlineLevel="0" collapsed="false">
      <c r="A226" s="6" t="n">
        <v>93</v>
      </c>
      <c r="B226" s="29" t="n">
        <v>46287</v>
      </c>
      <c r="C226" s="34" t="s">
        <v>198</v>
      </c>
      <c r="D226" s="6" t="s">
        <v>199</v>
      </c>
      <c r="E226" s="6" t="s">
        <v>526</v>
      </c>
      <c r="F226" s="18" t="n">
        <v>40.48</v>
      </c>
      <c r="G226" s="18"/>
      <c r="H226" s="6" t="s">
        <v>341</v>
      </c>
      <c r="I226" s="6" t="s">
        <v>217</v>
      </c>
      <c r="J226" s="6" t="s">
        <v>527</v>
      </c>
      <c r="K226" s="18" t="n">
        <f aca="false">F226-G226</f>
        <v>40.48</v>
      </c>
      <c r="L226" s="6" t="str">
        <f aca="false">INDEX('Plan de cuentas'!$C$5:$C$55,MATCH(C226,'Plan de cuentas'!$A$5:$A$55,0))</f>
        <v>PAVII</v>
      </c>
      <c r="M226" s="6" t="str">
        <f aca="false">INDEX('Plan de cuentas'!$D$5:$D$55,MATCH(C226,'Plan de cuentas'!$A$5:$A$55,0))</f>
        <v>P8</v>
      </c>
    </row>
    <row r="227" customFormat="false" ht="15" hidden="false" customHeight="false" outlineLevel="0" collapsed="false">
      <c r="A227" s="6" t="n">
        <v>93</v>
      </c>
      <c r="B227" s="29" t="n">
        <v>46287</v>
      </c>
      <c r="C227" s="34" t="s">
        <v>343</v>
      </c>
      <c r="D227" s="6" t="s">
        <v>344</v>
      </c>
      <c r="E227" s="6" t="s">
        <v>526</v>
      </c>
      <c r="F227" s="18"/>
      <c r="G227" s="18" t="n">
        <v>40.48</v>
      </c>
      <c r="H227" s="6" t="s">
        <v>341</v>
      </c>
      <c r="I227" s="6" t="s">
        <v>217</v>
      </c>
      <c r="J227" s="6" t="s">
        <v>527</v>
      </c>
      <c r="K227" s="18" t="n">
        <f aca="false">F227-G227</f>
        <v>-40.48</v>
      </c>
      <c r="L227" s="6" t="str">
        <f aca="false">INDEX('Plan de cuentas'!$C$5:$C$55,MATCH(C227,'Plan de cuentas'!$A$5:$A$55,0))</f>
        <v>AII3</v>
      </c>
      <c r="M227" s="6" t="str">
        <f aca="false">INDEX('Plan de cuentas'!$D$5:$D$55,MATCH(C227,'Plan de cuentas'!$A$5:$A$55,0))</f>
        <v>-</v>
      </c>
    </row>
    <row r="228" customFormat="false" ht="15" hidden="false" customHeight="false" outlineLevel="0" collapsed="false">
      <c r="A228" s="6" t="n">
        <v>94</v>
      </c>
      <c r="B228" s="29" t="n">
        <v>46287</v>
      </c>
      <c r="C228" s="34" t="s">
        <v>198</v>
      </c>
      <c r="D228" s="6" t="s">
        <v>199</v>
      </c>
      <c r="E228" s="6" t="s">
        <v>528</v>
      </c>
      <c r="F228" s="18" t="n">
        <v>88.65</v>
      </c>
      <c r="G228" s="18"/>
      <c r="H228" s="6" t="s">
        <v>341</v>
      </c>
      <c r="I228" s="6" t="s">
        <v>222</v>
      </c>
      <c r="J228" s="6" t="s">
        <v>529</v>
      </c>
      <c r="K228" s="18" t="n">
        <f aca="false">F228-G228</f>
        <v>88.65</v>
      </c>
      <c r="L228" s="6" t="str">
        <f aca="false">INDEX('Plan de cuentas'!$C$5:$C$55,MATCH(C228,'Plan de cuentas'!$A$5:$A$55,0))</f>
        <v>PAVII</v>
      </c>
      <c r="M228" s="6" t="str">
        <f aca="false">INDEX('Plan de cuentas'!$D$5:$D$55,MATCH(C228,'Plan de cuentas'!$A$5:$A$55,0))</f>
        <v>P8</v>
      </c>
    </row>
    <row r="229" customFormat="false" ht="15" hidden="false" customHeight="false" outlineLevel="0" collapsed="false">
      <c r="A229" s="6" t="n">
        <v>94</v>
      </c>
      <c r="B229" s="29" t="n">
        <v>46287</v>
      </c>
      <c r="C229" s="34" t="s">
        <v>343</v>
      </c>
      <c r="D229" s="6" t="s">
        <v>344</v>
      </c>
      <c r="E229" s="6" t="s">
        <v>528</v>
      </c>
      <c r="F229" s="18"/>
      <c r="G229" s="18" t="n">
        <v>88.65</v>
      </c>
      <c r="H229" s="6" t="s">
        <v>341</v>
      </c>
      <c r="I229" s="6" t="s">
        <v>222</v>
      </c>
      <c r="J229" s="6" t="s">
        <v>529</v>
      </c>
      <c r="K229" s="18" t="n">
        <f aca="false">F229-G229</f>
        <v>-88.65</v>
      </c>
      <c r="L229" s="6" t="str">
        <f aca="false">INDEX('Plan de cuentas'!$C$5:$C$55,MATCH(C229,'Plan de cuentas'!$A$5:$A$55,0))</f>
        <v>AII3</v>
      </c>
      <c r="M229" s="6" t="str">
        <f aca="false">INDEX('Plan de cuentas'!$D$5:$D$55,MATCH(C229,'Plan de cuentas'!$A$5:$A$55,0))</f>
        <v>-</v>
      </c>
    </row>
    <row r="231" customFormat="false" ht="15" hidden="false" customHeight="false" outlineLevel="0" collapsed="false">
      <c r="E231" s="8" t="s">
        <v>530</v>
      </c>
      <c r="F231" s="35" t="n">
        <f aca="false">SUM(F2:F229)</f>
        <v>149395.66</v>
      </c>
      <c r="G231" s="35" t="n">
        <f aca="false">SUM(G2:G229)</f>
        <v>149395.66</v>
      </c>
      <c r="K231" s="35" t="n">
        <f aca="false">SUM(K2:K229)</f>
        <v>5.42854650120717E-012</v>
      </c>
    </row>
  </sheetData>
  <autoFilter ref="A1:M2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4" min="3" style="0" width="14"/>
    <col collapsed="false" customWidth="true" hidden="false" outlineLevel="0" max="6" min="5" style="0" width="15"/>
  </cols>
  <sheetData>
    <row r="1" customFormat="false" ht="17.35" hidden="false" customHeight="false" outlineLevel="0" collapsed="false">
      <c r="A1" s="1" t="s">
        <v>531</v>
      </c>
    </row>
    <row r="2" customFormat="false" ht="15" hidden="false" customHeight="false" outlineLevel="0" collapsed="false">
      <c r="A2" s="2" t="s">
        <v>532</v>
      </c>
    </row>
    <row r="4" customFormat="false" ht="15" hidden="false" customHeight="false" outlineLevel="0" collapsed="false">
      <c r="A4" s="5" t="s">
        <v>175</v>
      </c>
      <c r="B4" s="5" t="s">
        <v>533</v>
      </c>
      <c r="C4" s="5" t="s">
        <v>296</v>
      </c>
      <c r="D4" s="5" t="s">
        <v>297</v>
      </c>
      <c r="E4" s="5" t="s">
        <v>534</v>
      </c>
      <c r="F4" s="5" t="s">
        <v>535</v>
      </c>
    </row>
    <row r="5" customFormat="false" ht="15" hidden="false" customHeight="false" outlineLevel="0" collapsed="false">
      <c r="A5" s="26" t="s">
        <v>311</v>
      </c>
      <c r="B5" s="17" t="s">
        <v>312</v>
      </c>
      <c r="C5" s="18" t="n">
        <f aca="false">SUMIFS(Diario!$F$2:$F$229,Diario!$C$2:$C$229,$A5,Diario!$B$2:$B$229,"&lt;="&amp;FechaCorte)</f>
        <v>0</v>
      </c>
      <c r="D5" s="18" t="n">
        <f aca="false">SUMIFS(Diario!$G$2:$G$229,Diario!$C$2:$C$229,$A5,Diario!$B$2:$B$229,"&lt;="&amp;FechaCorte)</f>
        <v>3100</v>
      </c>
      <c r="E5" s="18" t="n">
        <f aca="false">MAX(0,C5-D5)</f>
        <v>0</v>
      </c>
      <c r="F5" s="18" t="n">
        <f aca="false">MAX(0,D5-C5)</f>
        <v>3100</v>
      </c>
    </row>
    <row r="6" customFormat="false" ht="15" hidden="false" customHeight="false" outlineLevel="0" collapsed="false">
      <c r="A6" s="26" t="s">
        <v>323</v>
      </c>
      <c r="B6" s="17" t="s">
        <v>324</v>
      </c>
      <c r="C6" s="18" t="n">
        <f aca="false">SUMIFS(Diario!$F$2:$F$229,Diario!$C$2:$C$229,$A6,Diario!$B$2:$B$229,"&lt;="&amp;FechaCorte)</f>
        <v>0</v>
      </c>
      <c r="D6" s="18" t="n">
        <f aca="false">SUMIFS(Diario!$G$2:$G$229,Diario!$C$2:$C$229,$A6,Diario!$B$2:$B$229,"&lt;="&amp;FechaCorte)</f>
        <v>6.49</v>
      </c>
      <c r="E6" s="18" t="n">
        <f aca="false">MAX(0,C6-D6)</f>
        <v>0</v>
      </c>
      <c r="F6" s="18" t="n">
        <f aca="false">MAX(0,D6-C6)</f>
        <v>6.49</v>
      </c>
    </row>
    <row r="7" customFormat="false" ht="15" hidden="false" customHeight="false" outlineLevel="0" collapsed="false">
      <c r="A7" s="26" t="s">
        <v>314</v>
      </c>
      <c r="B7" s="17" t="s">
        <v>315</v>
      </c>
      <c r="C7" s="18" t="n">
        <f aca="false">SUMIFS(Diario!$F$2:$F$229,Diario!$C$2:$C$229,$A7,Diario!$B$2:$B$229,"&lt;="&amp;FechaCorte)</f>
        <v>0</v>
      </c>
      <c r="D7" s="18" t="n">
        <f aca="false">SUMIFS(Diario!$G$2:$G$229,Diario!$C$2:$C$229,$A7,Diario!$B$2:$B$229,"&lt;="&amp;FechaCorte)</f>
        <v>72153.73</v>
      </c>
      <c r="E7" s="18" t="n">
        <f aca="false">MAX(0,C7-D7)</f>
        <v>0</v>
      </c>
      <c r="F7" s="18" t="n">
        <f aca="false">MAX(0,D7-C7)</f>
        <v>72153.73</v>
      </c>
    </row>
    <row r="8" customFormat="false" ht="15" hidden="false" customHeight="false" outlineLevel="0" collapsed="false">
      <c r="A8" s="26" t="s">
        <v>326</v>
      </c>
      <c r="B8" s="17" t="s">
        <v>327</v>
      </c>
      <c r="C8" s="18" t="n">
        <f aca="false">SUMIFS(Diario!$F$2:$F$229,Diario!$C$2:$C$229,$A8,Diario!$B$2:$B$229,"&lt;="&amp;FechaCorte)</f>
        <v>0</v>
      </c>
      <c r="D8" s="18" t="n">
        <f aca="false">SUMIFS(Diario!$G$2:$G$229,Diario!$C$2:$C$229,$A8,Diario!$B$2:$B$229,"&lt;="&amp;FechaCorte)</f>
        <v>58.39</v>
      </c>
      <c r="E8" s="18" t="n">
        <f aca="false">MAX(0,C8-D8)</f>
        <v>0</v>
      </c>
      <c r="F8" s="18" t="n">
        <f aca="false">MAX(0,D8-C8)</f>
        <v>58.39</v>
      </c>
    </row>
    <row r="9" customFormat="false" ht="15" hidden="false" customHeight="false" outlineLevel="0" collapsed="false">
      <c r="A9" s="26" t="s">
        <v>317</v>
      </c>
      <c r="B9" s="17" t="s">
        <v>318</v>
      </c>
      <c r="C9" s="18" t="n">
        <f aca="false">SUMIFS(Diario!$F$2:$F$229,Diario!$C$2:$C$229,$A9,Diario!$B$2:$B$229,"&lt;="&amp;FechaCorte)</f>
        <v>64.88</v>
      </c>
      <c r="D9" s="18" t="n">
        <f aca="false">SUMIFS(Diario!$G$2:$G$229,Diario!$C$2:$C$229,$A9,Diario!$B$2:$B$229,"&lt;="&amp;FechaCorte)</f>
        <v>64.88</v>
      </c>
      <c r="E9" s="18" t="n">
        <f aca="false">MAX(0,C9-D9)</f>
        <v>0</v>
      </c>
      <c r="F9" s="18" t="n">
        <f aca="false">MAX(0,D9-C9)</f>
        <v>0</v>
      </c>
    </row>
    <row r="10" customFormat="false" ht="15" hidden="false" customHeight="false" outlineLevel="0" collapsed="false">
      <c r="A10" s="26" t="s">
        <v>303</v>
      </c>
      <c r="B10" s="17" t="s">
        <v>304</v>
      </c>
      <c r="C10" s="18" t="n">
        <f aca="false">SUMIFS(Diario!$F$2:$F$229,Diario!$C$2:$C$229,$A10,Diario!$B$2:$B$229,"&lt;="&amp;FechaCorte)</f>
        <v>9192</v>
      </c>
      <c r="D10" s="18" t="n">
        <f aca="false">SUMIFS(Diario!$G$2:$G$229,Diario!$C$2:$C$229,$A10,Diario!$B$2:$B$229,"&lt;="&amp;FechaCorte)</f>
        <v>9192</v>
      </c>
      <c r="E10" s="18" t="n">
        <f aca="false">MAX(0,C10-D10)</f>
        <v>0</v>
      </c>
      <c r="F10" s="18" t="n">
        <f aca="false">MAX(0,D10-C10)</f>
        <v>0</v>
      </c>
    </row>
    <row r="11" customFormat="false" ht="15" hidden="false" customHeight="false" outlineLevel="0" collapsed="false">
      <c r="A11" s="26" t="s">
        <v>329</v>
      </c>
      <c r="B11" s="17" t="s">
        <v>330</v>
      </c>
      <c r="C11" s="18" t="n">
        <f aca="false">SUMIFS(Diario!$F$2:$F$229,Diario!$C$2:$C$229,$A11,Diario!$B$2:$B$229,"&lt;="&amp;FechaCorte)</f>
        <v>39947.63</v>
      </c>
      <c r="D11" s="18" t="n">
        <f aca="false">SUMIFS(Diario!$G$2:$G$229,Diario!$C$2:$C$229,$A11,Diario!$B$2:$B$229,"&lt;="&amp;FechaCorte)</f>
        <v>6156.7</v>
      </c>
      <c r="E11" s="18" t="n">
        <f aca="false">MAX(0,C11-D11)</f>
        <v>33790.93</v>
      </c>
      <c r="F11" s="18" t="n">
        <f aca="false">MAX(0,D11-C11)</f>
        <v>0</v>
      </c>
    </row>
    <row r="12" customFormat="false" ht="15" hidden="false" customHeight="false" outlineLevel="0" collapsed="false">
      <c r="A12" s="26" t="s">
        <v>343</v>
      </c>
      <c r="B12" s="17" t="s">
        <v>344</v>
      </c>
      <c r="C12" s="18" t="n">
        <f aca="false">SUMIFS(Diario!$F$2:$F$229,Diario!$C$2:$C$229,$A12,Diario!$B$2:$B$229,"&lt;="&amp;FechaCorte)</f>
        <v>261.78</v>
      </c>
      <c r="D12" s="18" t="n">
        <f aca="false">SUMIFS(Diario!$G$2:$G$229,Diario!$C$2:$C$229,$A12,Diario!$B$2:$B$229,"&lt;="&amp;FechaCorte)</f>
        <v>1711.87</v>
      </c>
      <c r="E12" s="18" t="n">
        <f aca="false">MAX(0,C12-D12)</f>
        <v>0</v>
      </c>
      <c r="F12" s="18" t="n">
        <f aca="false">MAX(0,D12-C12)</f>
        <v>1450.09</v>
      </c>
    </row>
    <row r="13" customFormat="false" ht="15" hidden="false" customHeight="false" outlineLevel="0" collapsed="false">
      <c r="A13" s="26" t="s">
        <v>336</v>
      </c>
      <c r="B13" s="17" t="s">
        <v>337</v>
      </c>
      <c r="C13" s="18" t="n">
        <f aca="false">SUMIFS(Diario!$F$2:$F$229,Diario!$C$2:$C$229,$A13,Diario!$B$2:$B$229,"&lt;="&amp;FechaCorte)</f>
        <v>13923.39</v>
      </c>
      <c r="D13" s="18" t="n">
        <f aca="false">SUMIFS(Diario!$G$2:$G$229,Diario!$C$2:$C$229,$A13,Diario!$B$2:$B$229,"&lt;="&amp;FechaCorte)</f>
        <v>14564.34</v>
      </c>
      <c r="E13" s="18" t="n">
        <f aca="false">MAX(0,C13-D13)</f>
        <v>0</v>
      </c>
      <c r="F13" s="18" t="n">
        <f aca="false">MAX(0,D13-C13)</f>
        <v>640.950000000001</v>
      </c>
    </row>
    <row r="14" customFormat="false" ht="15" hidden="false" customHeight="false" outlineLevel="0" collapsed="false">
      <c r="A14" s="26" t="s">
        <v>390</v>
      </c>
      <c r="B14" s="17" t="s">
        <v>391</v>
      </c>
      <c r="C14" s="18" t="n">
        <f aca="false">SUMIFS(Diario!$F$2:$F$229,Diario!$C$2:$C$229,$A14,Diario!$B$2:$B$229,"&lt;="&amp;FechaCorte)</f>
        <v>5103.45</v>
      </c>
      <c r="D14" s="18" t="n">
        <f aca="false">SUMIFS(Diario!$G$2:$G$229,Diario!$C$2:$C$229,$A14,Diario!$B$2:$B$229,"&lt;="&amp;FechaCorte)</f>
        <v>212.6</v>
      </c>
      <c r="E14" s="18" t="n">
        <f aca="false">MAX(0,C14-D14)</f>
        <v>4890.85</v>
      </c>
      <c r="F14" s="18" t="n">
        <f aca="false">MAX(0,D14-C14)</f>
        <v>0</v>
      </c>
    </row>
    <row r="15" customFormat="false" ht="15" hidden="false" customHeight="false" outlineLevel="0" collapsed="false">
      <c r="A15" s="26" t="s">
        <v>384</v>
      </c>
      <c r="B15" s="17" t="s">
        <v>385</v>
      </c>
      <c r="C15" s="18" t="n">
        <f aca="false">SUMIFS(Diario!$F$2:$F$229,Diario!$C$2:$C$229,$A15,Diario!$B$2:$B$229,"&lt;="&amp;FechaCorte)</f>
        <v>236.54</v>
      </c>
      <c r="D15" s="18" t="n">
        <f aca="false">SUMIFS(Diario!$G$2:$G$229,Diario!$C$2:$C$229,$A15,Diario!$B$2:$B$229,"&lt;="&amp;FechaCorte)</f>
        <v>236.54</v>
      </c>
      <c r="E15" s="18" t="n">
        <f aca="false">MAX(0,C15-D15)</f>
        <v>0</v>
      </c>
      <c r="F15" s="18" t="n">
        <f aca="false">MAX(0,D15-C15)</f>
        <v>0</v>
      </c>
    </row>
    <row r="16" customFormat="false" ht="15" hidden="false" customHeight="false" outlineLevel="0" collapsed="false">
      <c r="A16" s="26" t="s">
        <v>355</v>
      </c>
      <c r="B16" s="17" t="s">
        <v>356</v>
      </c>
      <c r="C16" s="18" t="n">
        <f aca="false">SUMIFS(Diario!$F$2:$F$229,Diario!$C$2:$C$229,$A16,Diario!$B$2:$B$229,"&lt;="&amp;FechaCorte)</f>
        <v>3920.54</v>
      </c>
      <c r="D16" s="18" t="n">
        <f aca="false">SUMIFS(Diario!$G$2:$G$229,Diario!$C$2:$C$229,$A16,Diario!$B$2:$B$229,"&lt;="&amp;FechaCorte)</f>
        <v>608.23</v>
      </c>
      <c r="E16" s="18" t="n">
        <f aca="false">MAX(0,C16-D16)</f>
        <v>3312.31</v>
      </c>
      <c r="F16" s="18" t="n">
        <f aca="false">MAX(0,D16-C16)</f>
        <v>0</v>
      </c>
    </row>
    <row r="17" customFormat="false" ht="15" hidden="false" customHeight="false" outlineLevel="0" collapsed="false">
      <c r="A17" s="26" t="s">
        <v>503</v>
      </c>
      <c r="B17" s="17" t="s">
        <v>504</v>
      </c>
      <c r="C17" s="18" t="n">
        <f aca="false">SUMIFS(Diario!$F$2:$F$229,Diario!$C$2:$C$229,$A17,Diario!$B$2:$B$229,"&lt;="&amp;FechaCorte)</f>
        <v>0</v>
      </c>
      <c r="D17" s="18" t="n">
        <f aca="false">SUMIFS(Diario!$G$2:$G$229,Diario!$C$2:$C$229,$A17,Diario!$B$2:$B$229,"&lt;="&amp;FechaCorte)</f>
        <v>277.49</v>
      </c>
      <c r="E17" s="18" t="n">
        <f aca="false">MAX(0,C17-D17)</f>
        <v>0</v>
      </c>
      <c r="F17" s="18" t="n">
        <f aca="false">MAX(0,D17-C17)</f>
        <v>277.49</v>
      </c>
    </row>
    <row r="18" customFormat="false" ht="15" hidden="false" customHeight="false" outlineLevel="0" collapsed="false">
      <c r="A18" s="26" t="s">
        <v>455</v>
      </c>
      <c r="B18" s="17" t="s">
        <v>456</v>
      </c>
      <c r="C18" s="18" t="n">
        <f aca="false">SUMIFS(Diario!$F$2:$F$229,Diario!$C$2:$C$229,$A18,Diario!$B$2:$B$229,"&lt;="&amp;FechaCorte)</f>
        <v>0</v>
      </c>
      <c r="D18" s="18" t="n">
        <f aca="false">SUMIFS(Diario!$G$2:$G$229,Diario!$C$2:$C$229,$A18,Diario!$B$2:$B$229,"&lt;="&amp;FechaCorte)</f>
        <v>7.5</v>
      </c>
      <c r="E18" s="18" t="n">
        <f aca="false">MAX(0,C18-D18)</f>
        <v>0</v>
      </c>
      <c r="F18" s="18" t="n">
        <f aca="false">MAX(0,D18-C18)</f>
        <v>7.5</v>
      </c>
    </row>
    <row r="19" customFormat="false" ht="15" hidden="false" customHeight="false" outlineLevel="0" collapsed="false">
      <c r="A19" s="26" t="s">
        <v>395</v>
      </c>
      <c r="B19" s="17" t="s">
        <v>396</v>
      </c>
      <c r="C19" s="18" t="n">
        <f aca="false">SUMIFS(Diario!$F$2:$F$229,Diario!$C$2:$C$229,$A19,Diario!$B$2:$B$229,"&lt;="&amp;FechaCorte)</f>
        <v>885.72</v>
      </c>
      <c r="D19" s="18" t="n">
        <f aca="false">SUMIFS(Diario!$G$2:$G$229,Diario!$C$2:$C$229,$A19,Diario!$B$2:$B$229,"&lt;="&amp;FechaCorte)</f>
        <v>885.72</v>
      </c>
      <c r="E19" s="18" t="n">
        <f aca="false">MAX(0,C19-D19)</f>
        <v>0</v>
      </c>
      <c r="F19" s="18" t="n">
        <f aca="false">MAX(0,D19-C19)</f>
        <v>0</v>
      </c>
    </row>
    <row r="20" customFormat="false" ht="15" hidden="false" customHeight="false" outlineLevel="0" collapsed="false">
      <c r="A20" s="26" t="s">
        <v>348</v>
      </c>
      <c r="B20" s="17" t="s">
        <v>267</v>
      </c>
      <c r="C20" s="18" t="n">
        <f aca="false">SUMIFS(Diario!$F$2:$F$229,Diario!$C$2:$C$229,$A20,Diario!$B$2:$B$229,"&lt;="&amp;FechaCorte)</f>
        <v>0</v>
      </c>
      <c r="D20" s="18" t="n">
        <f aca="false">SUMIFS(Diario!$G$2:$G$229,Diario!$C$2:$C$229,$A20,Diario!$B$2:$B$229,"&lt;="&amp;FechaCorte)</f>
        <v>24498.06</v>
      </c>
      <c r="E20" s="18" t="n">
        <f aca="false">MAX(0,C20-D20)</f>
        <v>0</v>
      </c>
      <c r="F20" s="18" t="n">
        <f aca="false">MAX(0,D20-C20)</f>
        <v>24498.06</v>
      </c>
    </row>
    <row r="21" customFormat="false" ht="15" hidden="false" customHeight="false" outlineLevel="0" collapsed="false">
      <c r="A21" s="26" t="s">
        <v>308</v>
      </c>
      <c r="B21" s="17" t="s">
        <v>309</v>
      </c>
      <c r="C21" s="18" t="n">
        <f aca="false">SUMIFS(Diario!$F$2:$F$229,Diario!$C$2:$C$229,$A21,Diario!$B$2:$B$229,"&lt;="&amp;FechaCorte)</f>
        <v>66339.21</v>
      </c>
      <c r="D21" s="18" t="n">
        <f aca="false">SUMIFS(Diario!$G$2:$G$229,Diario!$C$2:$C$229,$A21,Diario!$B$2:$B$229,"&lt;="&amp;FechaCorte)</f>
        <v>13923.39</v>
      </c>
      <c r="E21" s="18" t="n">
        <f aca="false">MAX(0,C21-D21)</f>
        <v>52415.82</v>
      </c>
      <c r="F21" s="18" t="n">
        <f aca="false">MAX(0,D21-C21)</f>
        <v>0</v>
      </c>
    </row>
    <row r="22" customFormat="false" ht="15" hidden="false" customHeight="false" outlineLevel="0" collapsed="false">
      <c r="A22" s="26" t="s">
        <v>182</v>
      </c>
      <c r="B22" s="17" t="s">
        <v>183</v>
      </c>
      <c r="C22" s="18" t="n">
        <f aca="false">SUMIFS(Diario!$F$2:$F$229,Diario!$C$2:$C$229,$A22,Diario!$B$2:$B$229,"&lt;="&amp;FechaCorte)</f>
        <v>1992.33</v>
      </c>
      <c r="D22" s="18" t="n">
        <f aca="false">SUMIFS(Diario!$G$2:$G$229,Diario!$C$2:$C$229,$A22,Diario!$B$2:$B$229,"&lt;="&amp;FechaCorte)</f>
        <v>0</v>
      </c>
      <c r="E22" s="18" t="n">
        <f aca="false">MAX(0,C22-D22)</f>
        <v>1992.33</v>
      </c>
      <c r="F22" s="18" t="n">
        <f aca="false">MAX(0,D22-C22)</f>
        <v>0</v>
      </c>
    </row>
    <row r="23" customFormat="false" ht="15" hidden="false" customHeight="false" outlineLevel="0" collapsed="false">
      <c r="A23" s="26" t="s">
        <v>184</v>
      </c>
      <c r="B23" s="17" t="s">
        <v>185</v>
      </c>
      <c r="C23" s="18" t="n">
        <f aca="false">SUMIFS(Diario!$F$2:$F$229,Diario!$C$2:$C$229,$A23,Diario!$B$2:$B$229,"&lt;="&amp;FechaCorte)</f>
        <v>41.49</v>
      </c>
      <c r="D23" s="18" t="n">
        <f aca="false">SUMIFS(Diario!$G$2:$G$229,Diario!$C$2:$C$229,$A23,Diario!$B$2:$B$229,"&lt;="&amp;FechaCorte)</f>
        <v>0</v>
      </c>
      <c r="E23" s="18" t="n">
        <f aca="false">MAX(0,C23-D23)</f>
        <v>41.49</v>
      </c>
      <c r="F23" s="18" t="n">
        <f aca="false">MAX(0,D23-C23)</f>
        <v>0</v>
      </c>
    </row>
    <row r="24" customFormat="false" ht="15" hidden="false" customHeight="false" outlineLevel="0" collapsed="false">
      <c r="A24" s="26" t="s">
        <v>186</v>
      </c>
      <c r="B24" s="17" t="s">
        <v>187</v>
      </c>
      <c r="C24" s="18" t="n">
        <f aca="false">SUMIFS(Diario!$F$2:$F$229,Diario!$C$2:$C$229,$A24,Diario!$B$2:$B$229,"&lt;="&amp;FechaCorte)</f>
        <v>640.95</v>
      </c>
      <c r="D24" s="18" t="n">
        <f aca="false">SUMIFS(Diario!$G$2:$G$229,Diario!$C$2:$C$229,$A24,Diario!$B$2:$B$229,"&lt;="&amp;FechaCorte)</f>
        <v>0</v>
      </c>
      <c r="E24" s="18" t="n">
        <f aca="false">MAX(0,C24-D24)</f>
        <v>640.95</v>
      </c>
      <c r="F24" s="18" t="n">
        <f aca="false">MAX(0,D24-C24)</f>
        <v>0</v>
      </c>
    </row>
    <row r="25" customFormat="false" ht="15" hidden="false" customHeight="false" outlineLevel="0" collapsed="false">
      <c r="A25" s="26" t="s">
        <v>188</v>
      </c>
      <c r="B25" s="17" t="s">
        <v>189</v>
      </c>
      <c r="C25" s="18" t="n">
        <f aca="false">SUMIFS(Diario!$F$2:$F$229,Diario!$C$2:$C$229,$A25,Diario!$B$2:$B$229,"&lt;="&amp;FechaCorte)</f>
        <v>106.53</v>
      </c>
      <c r="D25" s="18" t="n">
        <f aca="false">SUMIFS(Diario!$G$2:$G$229,Diario!$C$2:$C$229,$A25,Diario!$B$2:$B$229,"&lt;="&amp;FechaCorte)</f>
        <v>0</v>
      </c>
      <c r="E25" s="18" t="n">
        <f aca="false">MAX(0,C25-D25)</f>
        <v>106.53</v>
      </c>
      <c r="F25" s="18" t="n">
        <f aca="false">MAX(0,D25-C25)</f>
        <v>0</v>
      </c>
    </row>
    <row r="26" customFormat="false" ht="15" hidden="false" customHeight="false" outlineLevel="0" collapsed="false">
      <c r="A26" s="26" t="s">
        <v>190</v>
      </c>
      <c r="B26" s="17" t="s">
        <v>191</v>
      </c>
      <c r="C26" s="18" t="n">
        <f aca="false">SUMIFS(Diario!$F$2:$F$229,Diario!$C$2:$C$229,$A26,Diario!$B$2:$B$229,"&lt;="&amp;FechaCorte)</f>
        <v>1181.36</v>
      </c>
      <c r="D26" s="18" t="n">
        <f aca="false">SUMIFS(Diario!$G$2:$G$229,Diario!$C$2:$C$229,$A26,Diario!$B$2:$B$229,"&lt;="&amp;FechaCorte)</f>
        <v>0</v>
      </c>
      <c r="E26" s="18" t="n">
        <f aca="false">MAX(0,C26-D26)</f>
        <v>1181.36</v>
      </c>
      <c r="F26" s="18" t="n">
        <f aca="false">MAX(0,D26-C26)</f>
        <v>0</v>
      </c>
    </row>
    <row r="27" customFormat="false" ht="15" hidden="false" customHeight="false" outlineLevel="0" collapsed="false">
      <c r="A27" s="26" t="s">
        <v>192</v>
      </c>
      <c r="B27" s="17" t="s">
        <v>193</v>
      </c>
      <c r="C27" s="18" t="n">
        <f aca="false">SUMIFS(Diario!$F$2:$F$229,Diario!$C$2:$C$229,$A27,Diario!$B$2:$B$229,"&lt;="&amp;FechaCorte)</f>
        <v>144.69</v>
      </c>
      <c r="D27" s="18" t="n">
        <f aca="false">SUMIFS(Diario!$G$2:$G$229,Diario!$C$2:$C$229,$A27,Diario!$B$2:$B$229,"&lt;="&amp;FechaCorte)</f>
        <v>0</v>
      </c>
      <c r="E27" s="18" t="n">
        <f aca="false">MAX(0,C27-D27)</f>
        <v>144.69</v>
      </c>
      <c r="F27" s="18" t="n">
        <f aca="false">MAX(0,D27-C27)</f>
        <v>0</v>
      </c>
    </row>
    <row r="28" customFormat="false" ht="15" hidden="false" customHeight="false" outlineLevel="0" collapsed="false">
      <c r="A28" s="26" t="s">
        <v>194</v>
      </c>
      <c r="B28" s="17" t="s">
        <v>195</v>
      </c>
      <c r="C28" s="18" t="n">
        <f aca="false">SUMIFS(Diario!$F$2:$F$229,Diario!$C$2:$C$229,$A28,Diario!$B$2:$B$229,"&lt;="&amp;FechaCorte)</f>
        <v>3414.92</v>
      </c>
      <c r="D28" s="18" t="n">
        <f aca="false">SUMIFS(Diario!$G$2:$G$229,Diario!$C$2:$C$229,$A28,Diario!$B$2:$B$229,"&lt;="&amp;FechaCorte)</f>
        <v>0</v>
      </c>
      <c r="E28" s="18" t="n">
        <f aca="false">MAX(0,C28-D28)</f>
        <v>3414.92</v>
      </c>
      <c r="F28" s="18" t="n">
        <f aca="false">MAX(0,D28-C28)</f>
        <v>0</v>
      </c>
    </row>
    <row r="29" customFormat="false" ht="15" hidden="false" customHeight="false" outlineLevel="0" collapsed="false">
      <c r="A29" s="26" t="s">
        <v>196</v>
      </c>
      <c r="B29" s="17" t="s">
        <v>197</v>
      </c>
      <c r="C29" s="18" t="n">
        <f aca="false">SUMIFS(Diario!$F$2:$F$229,Diario!$C$2:$C$229,$A29,Diario!$B$2:$B$229,"&lt;="&amp;FechaCorte)</f>
        <v>286.38</v>
      </c>
      <c r="D29" s="18" t="n">
        <f aca="false">SUMIFS(Diario!$G$2:$G$229,Diario!$C$2:$C$229,$A29,Diario!$B$2:$B$229,"&lt;="&amp;FechaCorte)</f>
        <v>0</v>
      </c>
      <c r="E29" s="18" t="n">
        <f aca="false">MAX(0,C29-D29)</f>
        <v>286.38</v>
      </c>
      <c r="F29" s="18" t="n">
        <f aca="false">MAX(0,D29-C29)</f>
        <v>0</v>
      </c>
    </row>
    <row r="30" customFormat="false" ht="15" hidden="false" customHeight="false" outlineLevel="0" collapsed="false">
      <c r="A30" s="26" t="s">
        <v>198</v>
      </c>
      <c r="B30" s="17" t="s">
        <v>199</v>
      </c>
      <c r="C30" s="18" t="n">
        <f aca="false">SUMIFS(Diario!$F$2:$F$229,Diario!$C$2:$C$229,$A30,Diario!$B$2:$B$229,"&lt;="&amp;FechaCorte)</f>
        <v>1711.87</v>
      </c>
      <c r="D30" s="18" t="n">
        <f aca="false">SUMIFS(Diario!$G$2:$G$229,Diario!$C$2:$C$229,$A30,Diario!$B$2:$B$229,"&lt;="&amp;FechaCorte)</f>
        <v>0</v>
      </c>
      <c r="E30" s="18" t="n">
        <f aca="false">MAX(0,C30-D30)</f>
        <v>1711.87</v>
      </c>
      <c r="F30" s="18" t="n">
        <f aca="false">MAX(0,D30-C30)</f>
        <v>0</v>
      </c>
    </row>
    <row r="31" customFormat="false" ht="15" hidden="false" customHeight="false" outlineLevel="0" collapsed="false">
      <c r="A31" s="26" t="s">
        <v>200</v>
      </c>
      <c r="B31" s="17" t="s">
        <v>201</v>
      </c>
      <c r="C31" s="18" t="n">
        <f aca="false">SUMIFS(Diario!$F$2:$F$229,Diario!$C$2:$C$229,$A31,Diario!$B$2:$B$229,"&lt;="&amp;FechaCorte)</f>
        <v>0</v>
      </c>
      <c r="D31" s="18" t="n">
        <f aca="false">SUMIFS(Diario!$G$2:$G$229,Diario!$C$2:$C$229,$A31,Diario!$B$2:$B$229,"&lt;="&amp;FechaCorte)</f>
        <v>1737.73</v>
      </c>
      <c r="E31" s="18" t="n">
        <f aca="false">MAX(0,C31-D31)</f>
        <v>0</v>
      </c>
      <c r="F31" s="18" t="n">
        <f aca="false">MAX(0,D31-C31)</f>
        <v>1737.73</v>
      </c>
    </row>
    <row r="32" customFormat="false" ht="15" hidden="false" customHeight="false" outlineLevel="0" collapsed="false">
      <c r="A32" s="20"/>
      <c r="B32" s="21" t="s">
        <v>536</v>
      </c>
      <c r="C32" s="22" t="n">
        <f aca="false">SUM(C5:C31)</f>
        <v>149395.66</v>
      </c>
      <c r="D32" s="22" t="n">
        <f aca="false">SUM(D5:D31)</f>
        <v>149395.66</v>
      </c>
      <c r="E32" s="22" t="n">
        <f aca="false">SUM(E5:E31)</f>
        <v>103930.43</v>
      </c>
      <c r="F32" s="22" t="n">
        <f aca="false">SUM(F5:F31)</f>
        <v>103930.43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6" min="5" style="0" width="55"/>
  </cols>
  <sheetData>
    <row r="1" customFormat="false" ht="17.35" hidden="false" customHeight="false" outlineLevel="0" collapsed="false">
      <c r="A1" s="1" t="s">
        <v>537</v>
      </c>
    </row>
    <row r="2" customFormat="false" ht="15" hidden="false" customHeight="false" outlineLevel="0" collapsed="false">
      <c r="A2" s="2" t="s">
        <v>538</v>
      </c>
    </row>
    <row r="4" customFormat="false" ht="15" hidden="false" customHeight="false" outlineLevel="0" collapsed="false">
      <c r="A4" s="5" t="s">
        <v>175</v>
      </c>
      <c r="B4" s="5" t="s">
        <v>533</v>
      </c>
      <c r="C4" s="5" t="s">
        <v>301</v>
      </c>
      <c r="D4" s="5" t="s">
        <v>302</v>
      </c>
      <c r="E4" s="5" t="s">
        <v>539</v>
      </c>
      <c r="F4" s="5" t="s">
        <v>540</v>
      </c>
    </row>
    <row r="5" customFormat="false" ht="15" hidden="false" customHeight="false" outlineLevel="0" collapsed="false">
      <c r="A5" s="34" t="s">
        <v>311</v>
      </c>
      <c r="B5" s="6" t="s">
        <v>312</v>
      </c>
      <c r="C5" s="6" t="s">
        <v>93</v>
      </c>
      <c r="D5" s="6" t="s">
        <v>253</v>
      </c>
      <c r="E5" s="6" t="s">
        <v>94</v>
      </c>
      <c r="F5" s="6"/>
    </row>
    <row r="6" customFormat="false" ht="15" hidden="false" customHeight="false" outlineLevel="0" collapsed="false">
      <c r="A6" s="34" t="s">
        <v>323</v>
      </c>
      <c r="B6" s="6" t="s">
        <v>324</v>
      </c>
      <c r="C6" s="6" t="s">
        <v>95</v>
      </c>
      <c r="D6" s="6" t="s">
        <v>253</v>
      </c>
      <c r="E6" s="6" t="s">
        <v>96</v>
      </c>
      <c r="F6" s="6"/>
    </row>
    <row r="7" customFormat="false" ht="15" hidden="false" customHeight="false" outlineLevel="0" collapsed="false">
      <c r="A7" s="34" t="s">
        <v>541</v>
      </c>
      <c r="B7" s="6" t="s">
        <v>542</v>
      </c>
      <c r="C7" s="6" t="s">
        <v>95</v>
      </c>
      <c r="D7" s="6" t="s">
        <v>253</v>
      </c>
      <c r="E7" s="6" t="s">
        <v>96</v>
      </c>
      <c r="F7" s="6"/>
    </row>
    <row r="8" customFormat="false" ht="15" hidden="false" customHeight="false" outlineLevel="0" collapsed="false">
      <c r="A8" s="34" t="s">
        <v>314</v>
      </c>
      <c r="B8" s="6" t="s">
        <v>315</v>
      </c>
      <c r="C8" s="6" t="s">
        <v>99</v>
      </c>
      <c r="D8" s="6" t="s">
        <v>253</v>
      </c>
      <c r="E8" s="6" t="s">
        <v>100</v>
      </c>
      <c r="F8" s="6"/>
    </row>
    <row r="9" customFormat="false" ht="15" hidden="false" customHeight="false" outlineLevel="0" collapsed="false">
      <c r="A9" s="34" t="s">
        <v>326</v>
      </c>
      <c r="B9" s="6" t="s">
        <v>327</v>
      </c>
      <c r="C9" s="6" t="s">
        <v>97</v>
      </c>
      <c r="D9" s="6" t="s">
        <v>253</v>
      </c>
      <c r="E9" s="6" t="s">
        <v>98</v>
      </c>
      <c r="F9" s="6"/>
    </row>
    <row r="10" customFormat="false" ht="15" hidden="false" customHeight="false" outlineLevel="0" collapsed="false">
      <c r="A10" s="34" t="s">
        <v>543</v>
      </c>
      <c r="B10" s="6" t="s">
        <v>544</v>
      </c>
      <c r="C10" s="6" t="s">
        <v>97</v>
      </c>
      <c r="D10" s="6" t="s">
        <v>253</v>
      </c>
      <c r="E10" s="6" t="s">
        <v>98</v>
      </c>
      <c r="F10" s="6"/>
    </row>
    <row r="11" customFormat="false" ht="15" hidden="false" customHeight="false" outlineLevel="0" collapsed="false">
      <c r="A11" s="34" t="s">
        <v>317</v>
      </c>
      <c r="B11" s="6" t="s">
        <v>318</v>
      </c>
      <c r="C11" s="6" t="s">
        <v>101</v>
      </c>
      <c r="D11" s="6" t="s">
        <v>253</v>
      </c>
      <c r="E11" s="6" t="s">
        <v>102</v>
      </c>
      <c r="F11" s="6"/>
    </row>
    <row r="12" customFormat="false" ht="15" hidden="false" customHeight="false" outlineLevel="0" collapsed="false">
      <c r="A12" s="34" t="s">
        <v>545</v>
      </c>
      <c r="B12" s="6" t="s">
        <v>546</v>
      </c>
      <c r="C12" s="6" t="s">
        <v>105</v>
      </c>
      <c r="D12" s="6" t="s">
        <v>253</v>
      </c>
      <c r="E12" s="6" t="s">
        <v>106</v>
      </c>
      <c r="F12" s="6"/>
    </row>
    <row r="13" customFormat="false" ht="15" hidden="false" customHeight="false" outlineLevel="0" collapsed="false">
      <c r="A13" s="34" t="s">
        <v>547</v>
      </c>
      <c r="B13" s="6" t="s">
        <v>548</v>
      </c>
      <c r="C13" s="6" t="s">
        <v>105</v>
      </c>
      <c r="D13" s="6" t="s">
        <v>253</v>
      </c>
      <c r="E13" s="6" t="s">
        <v>106</v>
      </c>
      <c r="F13" s="6"/>
    </row>
    <row r="14" customFormat="false" ht="15" hidden="false" customHeight="false" outlineLevel="0" collapsed="false">
      <c r="A14" s="34" t="s">
        <v>303</v>
      </c>
      <c r="B14" s="6" t="s">
        <v>304</v>
      </c>
      <c r="C14" s="6" t="s">
        <v>64</v>
      </c>
      <c r="D14" s="6" t="s">
        <v>253</v>
      </c>
      <c r="E14" s="6" t="s">
        <v>65</v>
      </c>
      <c r="F14" s="6"/>
    </row>
    <row r="15" customFormat="false" ht="15" hidden="false" customHeight="false" outlineLevel="0" collapsed="false">
      <c r="A15" s="34" t="s">
        <v>329</v>
      </c>
      <c r="B15" s="6" t="s">
        <v>330</v>
      </c>
      <c r="C15" s="6" t="s">
        <v>62</v>
      </c>
      <c r="D15" s="6" t="s">
        <v>253</v>
      </c>
      <c r="E15" s="6" t="s">
        <v>63</v>
      </c>
      <c r="F15" s="6"/>
    </row>
    <row r="16" customFormat="false" ht="15" hidden="false" customHeight="false" outlineLevel="0" collapsed="false">
      <c r="A16" s="34" t="s">
        <v>343</v>
      </c>
      <c r="B16" s="6" t="s">
        <v>344</v>
      </c>
      <c r="C16" s="6" t="s">
        <v>66</v>
      </c>
      <c r="D16" s="6" t="s">
        <v>253</v>
      </c>
      <c r="E16" s="6" t="s">
        <v>67</v>
      </c>
      <c r="F16" s="6"/>
    </row>
    <row r="17" customFormat="false" ht="15" hidden="false" customHeight="false" outlineLevel="0" collapsed="false">
      <c r="A17" s="34" t="s">
        <v>549</v>
      </c>
      <c r="B17" s="6" t="s">
        <v>550</v>
      </c>
      <c r="C17" s="6" t="s">
        <v>119</v>
      </c>
      <c r="D17" s="6" t="s">
        <v>253</v>
      </c>
      <c r="E17" s="6" t="s">
        <v>120</v>
      </c>
      <c r="F17" s="6"/>
    </row>
    <row r="18" customFormat="false" ht="15" hidden="false" customHeight="false" outlineLevel="0" collapsed="false">
      <c r="A18" s="34" t="s">
        <v>336</v>
      </c>
      <c r="B18" s="6" t="s">
        <v>337</v>
      </c>
      <c r="C18" s="6" t="s">
        <v>119</v>
      </c>
      <c r="D18" s="6" t="s">
        <v>253</v>
      </c>
      <c r="E18" s="6" t="s">
        <v>120</v>
      </c>
      <c r="F18" s="6"/>
    </row>
    <row r="19" customFormat="false" ht="15" hidden="false" customHeight="false" outlineLevel="0" collapsed="false">
      <c r="A19" s="34" t="s">
        <v>390</v>
      </c>
      <c r="B19" s="6" t="s">
        <v>391</v>
      </c>
      <c r="C19" s="6" t="s">
        <v>76</v>
      </c>
      <c r="D19" s="6" t="s">
        <v>253</v>
      </c>
      <c r="E19" s="6" t="s">
        <v>77</v>
      </c>
      <c r="F19" s="6"/>
    </row>
    <row r="20" customFormat="false" ht="15" hidden="false" customHeight="false" outlineLevel="0" collapsed="false">
      <c r="A20" s="34" t="s">
        <v>551</v>
      </c>
      <c r="B20" s="6" t="s">
        <v>552</v>
      </c>
      <c r="C20" s="6" t="s">
        <v>123</v>
      </c>
      <c r="D20" s="6" t="s">
        <v>253</v>
      </c>
      <c r="E20" s="6" t="s">
        <v>124</v>
      </c>
      <c r="F20" s="6"/>
    </row>
    <row r="21" customFormat="false" ht="15" hidden="false" customHeight="false" outlineLevel="0" collapsed="false">
      <c r="A21" s="34" t="s">
        <v>384</v>
      </c>
      <c r="B21" s="6" t="s">
        <v>385</v>
      </c>
      <c r="C21" s="6" t="s">
        <v>78</v>
      </c>
      <c r="D21" s="6" t="s">
        <v>253</v>
      </c>
      <c r="E21" s="6" t="s">
        <v>79</v>
      </c>
      <c r="F21" s="6"/>
    </row>
    <row r="22" customFormat="false" ht="15" hidden="false" customHeight="false" outlineLevel="0" collapsed="false">
      <c r="A22" s="34" t="s">
        <v>553</v>
      </c>
      <c r="B22" s="6" t="s">
        <v>554</v>
      </c>
      <c r="C22" s="6" t="s">
        <v>78</v>
      </c>
      <c r="D22" s="6" t="s">
        <v>253</v>
      </c>
      <c r="E22" s="6" t="s">
        <v>79</v>
      </c>
      <c r="F22" s="6"/>
    </row>
    <row r="23" customFormat="false" ht="15" hidden="false" customHeight="false" outlineLevel="0" collapsed="false">
      <c r="A23" s="34" t="s">
        <v>355</v>
      </c>
      <c r="B23" s="6" t="s">
        <v>356</v>
      </c>
      <c r="C23" s="6" t="s">
        <v>78</v>
      </c>
      <c r="D23" s="6" t="s">
        <v>253</v>
      </c>
      <c r="E23" s="6" t="s">
        <v>79</v>
      </c>
      <c r="F23" s="6"/>
    </row>
    <row r="24" customFormat="false" ht="15" hidden="false" customHeight="false" outlineLevel="0" collapsed="false">
      <c r="A24" s="34" t="s">
        <v>503</v>
      </c>
      <c r="B24" s="6" t="s">
        <v>504</v>
      </c>
      <c r="C24" s="6" t="s">
        <v>121</v>
      </c>
      <c r="D24" s="6" t="s">
        <v>253</v>
      </c>
      <c r="E24" s="6" t="s">
        <v>122</v>
      </c>
      <c r="F24" s="6"/>
    </row>
    <row r="25" customFormat="false" ht="15" hidden="false" customHeight="false" outlineLevel="0" collapsed="false">
      <c r="A25" s="34" t="s">
        <v>455</v>
      </c>
      <c r="B25" s="6" t="s">
        <v>456</v>
      </c>
      <c r="C25" s="6" t="s">
        <v>121</v>
      </c>
      <c r="D25" s="6" t="s">
        <v>253</v>
      </c>
      <c r="E25" s="6" t="s">
        <v>122</v>
      </c>
      <c r="F25" s="6"/>
    </row>
    <row r="26" customFormat="false" ht="15" hidden="false" customHeight="false" outlineLevel="0" collapsed="false">
      <c r="A26" s="34" t="s">
        <v>555</v>
      </c>
      <c r="B26" s="6" t="s">
        <v>556</v>
      </c>
      <c r="C26" s="6" t="s">
        <v>121</v>
      </c>
      <c r="D26" s="6" t="s">
        <v>253</v>
      </c>
      <c r="E26" s="6" t="s">
        <v>122</v>
      </c>
      <c r="F26" s="6"/>
    </row>
    <row r="27" customFormat="false" ht="15" hidden="false" customHeight="false" outlineLevel="0" collapsed="false">
      <c r="A27" s="34" t="s">
        <v>557</v>
      </c>
      <c r="B27" s="6" t="s">
        <v>558</v>
      </c>
      <c r="C27" s="6" t="s">
        <v>123</v>
      </c>
      <c r="D27" s="6" t="s">
        <v>253</v>
      </c>
      <c r="E27" s="6" t="s">
        <v>124</v>
      </c>
      <c r="F27" s="6"/>
    </row>
    <row r="28" customFormat="false" ht="15" hidden="false" customHeight="false" outlineLevel="0" collapsed="false">
      <c r="A28" s="34" t="s">
        <v>395</v>
      </c>
      <c r="B28" s="6" t="s">
        <v>396</v>
      </c>
      <c r="C28" s="6" t="s">
        <v>121</v>
      </c>
      <c r="D28" s="6" t="s">
        <v>253</v>
      </c>
      <c r="E28" s="6" t="s">
        <v>122</v>
      </c>
      <c r="F28" s="6"/>
    </row>
    <row r="29" customFormat="false" ht="15" hidden="false" customHeight="false" outlineLevel="0" collapsed="false">
      <c r="A29" s="34" t="s">
        <v>559</v>
      </c>
      <c r="B29" s="6" t="s">
        <v>560</v>
      </c>
      <c r="C29" s="6" t="s">
        <v>84</v>
      </c>
      <c r="D29" s="6" t="s">
        <v>253</v>
      </c>
      <c r="E29" s="6" t="s">
        <v>85</v>
      </c>
      <c r="F29" s="6"/>
    </row>
    <row r="30" customFormat="false" ht="15" hidden="false" customHeight="false" outlineLevel="0" collapsed="false">
      <c r="A30" s="34" t="s">
        <v>561</v>
      </c>
      <c r="B30" s="6" t="s">
        <v>562</v>
      </c>
      <c r="C30" s="6" t="s">
        <v>111</v>
      </c>
      <c r="D30" s="6" t="s">
        <v>253</v>
      </c>
      <c r="E30" s="6" t="s">
        <v>112</v>
      </c>
      <c r="F30" s="6"/>
    </row>
    <row r="31" customFormat="false" ht="15" hidden="false" customHeight="false" outlineLevel="0" collapsed="false">
      <c r="A31" s="34" t="s">
        <v>563</v>
      </c>
      <c r="B31" s="6" t="s">
        <v>564</v>
      </c>
      <c r="C31" s="6" t="s">
        <v>565</v>
      </c>
      <c r="D31" s="6" t="s">
        <v>253</v>
      </c>
      <c r="E31" s="6" t="s">
        <v>566</v>
      </c>
      <c r="F31" s="6"/>
    </row>
    <row r="32" customFormat="false" ht="15" hidden="false" customHeight="false" outlineLevel="0" collapsed="false">
      <c r="A32" s="34" t="s">
        <v>348</v>
      </c>
      <c r="B32" s="6" t="s">
        <v>267</v>
      </c>
      <c r="C32" s="6" t="s">
        <v>567</v>
      </c>
      <c r="D32" s="6" t="s">
        <v>253</v>
      </c>
      <c r="E32" s="6" t="s">
        <v>568</v>
      </c>
      <c r="F32" s="6"/>
    </row>
    <row r="33" customFormat="false" ht="15" hidden="false" customHeight="false" outlineLevel="0" collapsed="false">
      <c r="A33" s="34" t="s">
        <v>308</v>
      </c>
      <c r="B33" s="6" t="s">
        <v>309</v>
      </c>
      <c r="C33" s="6" t="s">
        <v>86</v>
      </c>
      <c r="D33" s="6" t="s">
        <v>253</v>
      </c>
      <c r="E33" s="6" t="s">
        <v>87</v>
      </c>
      <c r="F33" s="6"/>
    </row>
    <row r="34" customFormat="false" ht="15" hidden="false" customHeight="false" outlineLevel="0" collapsed="false">
      <c r="A34" s="34" t="s">
        <v>182</v>
      </c>
      <c r="B34" s="6" t="s">
        <v>183</v>
      </c>
      <c r="C34" s="6" t="s">
        <v>101</v>
      </c>
      <c r="D34" s="6" t="s">
        <v>147</v>
      </c>
      <c r="E34" s="6" t="s">
        <v>102</v>
      </c>
      <c r="F34" s="6" t="s">
        <v>148</v>
      </c>
    </row>
    <row r="35" customFormat="false" ht="15" hidden="false" customHeight="false" outlineLevel="0" collapsed="false">
      <c r="A35" s="34" t="s">
        <v>184</v>
      </c>
      <c r="B35" s="6" t="s">
        <v>185</v>
      </c>
      <c r="C35" s="6" t="s">
        <v>101</v>
      </c>
      <c r="D35" s="6" t="s">
        <v>147</v>
      </c>
      <c r="E35" s="6" t="s">
        <v>102</v>
      </c>
      <c r="F35" s="6" t="s">
        <v>148</v>
      </c>
    </row>
    <row r="36" customFormat="false" ht="15" hidden="false" customHeight="false" outlineLevel="0" collapsed="false">
      <c r="A36" s="34" t="s">
        <v>186</v>
      </c>
      <c r="B36" s="6" t="s">
        <v>187</v>
      </c>
      <c r="C36" s="6" t="s">
        <v>101</v>
      </c>
      <c r="D36" s="6" t="s">
        <v>147</v>
      </c>
      <c r="E36" s="6" t="s">
        <v>102</v>
      </c>
      <c r="F36" s="6" t="s">
        <v>148</v>
      </c>
    </row>
    <row r="37" customFormat="false" ht="15" hidden="false" customHeight="false" outlineLevel="0" collapsed="false">
      <c r="A37" s="34" t="s">
        <v>569</v>
      </c>
      <c r="B37" s="6" t="s">
        <v>570</v>
      </c>
      <c r="C37" s="6" t="s">
        <v>101</v>
      </c>
      <c r="D37" s="6" t="s">
        <v>147</v>
      </c>
      <c r="E37" s="6" t="s">
        <v>102</v>
      </c>
      <c r="F37" s="6" t="s">
        <v>148</v>
      </c>
    </row>
    <row r="38" customFormat="false" ht="15" hidden="false" customHeight="false" outlineLevel="0" collapsed="false">
      <c r="A38" s="34" t="s">
        <v>571</v>
      </c>
      <c r="B38" s="6" t="s">
        <v>572</v>
      </c>
      <c r="C38" s="6" t="s">
        <v>101</v>
      </c>
      <c r="D38" s="6" t="s">
        <v>147</v>
      </c>
      <c r="E38" s="6" t="s">
        <v>102</v>
      </c>
      <c r="F38" s="6" t="s">
        <v>148</v>
      </c>
    </row>
    <row r="39" customFormat="false" ht="15" hidden="false" customHeight="false" outlineLevel="0" collapsed="false">
      <c r="A39" s="34" t="s">
        <v>188</v>
      </c>
      <c r="B39" s="6" t="s">
        <v>189</v>
      </c>
      <c r="C39" s="6" t="s">
        <v>101</v>
      </c>
      <c r="D39" s="6" t="s">
        <v>147</v>
      </c>
      <c r="E39" s="6" t="s">
        <v>102</v>
      </c>
      <c r="F39" s="6" t="s">
        <v>148</v>
      </c>
    </row>
    <row r="40" customFormat="false" ht="15" hidden="false" customHeight="false" outlineLevel="0" collapsed="false">
      <c r="A40" s="34" t="s">
        <v>190</v>
      </c>
      <c r="B40" s="6" t="s">
        <v>191</v>
      </c>
      <c r="C40" s="6" t="s">
        <v>101</v>
      </c>
      <c r="D40" s="6" t="s">
        <v>147</v>
      </c>
      <c r="E40" s="6" t="s">
        <v>102</v>
      </c>
      <c r="F40" s="6" t="s">
        <v>148</v>
      </c>
    </row>
    <row r="41" customFormat="false" ht="15" hidden="false" customHeight="false" outlineLevel="0" collapsed="false">
      <c r="A41" s="34" t="s">
        <v>573</v>
      </c>
      <c r="B41" s="6" t="s">
        <v>574</v>
      </c>
      <c r="C41" s="6" t="s">
        <v>101</v>
      </c>
      <c r="D41" s="6" t="s">
        <v>171</v>
      </c>
      <c r="E41" s="6" t="s">
        <v>102</v>
      </c>
      <c r="F41" s="6" t="s">
        <v>172</v>
      </c>
    </row>
    <row r="42" customFormat="false" ht="15" hidden="false" customHeight="false" outlineLevel="0" collapsed="false">
      <c r="A42" s="34" t="s">
        <v>192</v>
      </c>
      <c r="B42" s="6" t="s">
        <v>193</v>
      </c>
      <c r="C42" s="6" t="s">
        <v>101</v>
      </c>
      <c r="D42" s="6" t="s">
        <v>149</v>
      </c>
      <c r="E42" s="6" t="s">
        <v>102</v>
      </c>
      <c r="F42" s="6" t="s">
        <v>150</v>
      </c>
    </row>
    <row r="43" customFormat="false" ht="15" hidden="false" customHeight="false" outlineLevel="0" collapsed="false">
      <c r="A43" s="34" t="s">
        <v>575</v>
      </c>
      <c r="B43" s="6" t="s">
        <v>576</v>
      </c>
      <c r="C43" s="6" t="s">
        <v>101</v>
      </c>
      <c r="D43" s="6" t="s">
        <v>143</v>
      </c>
      <c r="E43" s="6" t="s">
        <v>102</v>
      </c>
      <c r="F43" s="6" t="s">
        <v>144</v>
      </c>
    </row>
    <row r="44" customFormat="false" ht="15" hidden="false" customHeight="false" outlineLevel="0" collapsed="false">
      <c r="A44" s="34" t="s">
        <v>577</v>
      </c>
      <c r="B44" s="6" t="s">
        <v>578</v>
      </c>
      <c r="C44" s="6" t="s">
        <v>101</v>
      </c>
      <c r="D44" s="6" t="s">
        <v>143</v>
      </c>
      <c r="E44" s="6" t="s">
        <v>102</v>
      </c>
      <c r="F44" s="6" t="s">
        <v>144</v>
      </c>
    </row>
    <row r="45" customFormat="false" ht="15" hidden="false" customHeight="false" outlineLevel="0" collapsed="false">
      <c r="A45" s="34" t="s">
        <v>579</v>
      </c>
      <c r="B45" s="6" t="s">
        <v>580</v>
      </c>
      <c r="C45" s="6" t="s">
        <v>101</v>
      </c>
      <c r="D45" s="6" t="s">
        <v>163</v>
      </c>
      <c r="E45" s="6" t="s">
        <v>102</v>
      </c>
      <c r="F45" s="6" t="s">
        <v>164</v>
      </c>
    </row>
    <row r="46" customFormat="false" ht="15" hidden="false" customHeight="false" outlineLevel="0" collapsed="false">
      <c r="A46" s="34" t="s">
        <v>581</v>
      </c>
      <c r="B46" s="6" t="s">
        <v>582</v>
      </c>
      <c r="C46" s="6" t="s">
        <v>101</v>
      </c>
      <c r="D46" s="6" t="s">
        <v>163</v>
      </c>
      <c r="E46" s="6" t="s">
        <v>102</v>
      </c>
      <c r="F46" s="6" t="s">
        <v>164</v>
      </c>
    </row>
    <row r="47" customFormat="false" ht="15" hidden="false" customHeight="false" outlineLevel="0" collapsed="false">
      <c r="A47" s="34" t="s">
        <v>194</v>
      </c>
      <c r="B47" s="6" t="s">
        <v>195</v>
      </c>
      <c r="C47" s="6" t="s">
        <v>101</v>
      </c>
      <c r="D47" s="6" t="s">
        <v>155</v>
      </c>
      <c r="E47" s="6" t="s">
        <v>102</v>
      </c>
      <c r="F47" s="6" t="s">
        <v>156</v>
      </c>
    </row>
    <row r="48" customFormat="false" ht="15" hidden="false" customHeight="false" outlineLevel="0" collapsed="false">
      <c r="A48" s="34" t="s">
        <v>196</v>
      </c>
      <c r="B48" s="6" t="s">
        <v>197</v>
      </c>
      <c r="C48" s="6" t="s">
        <v>101</v>
      </c>
      <c r="D48" s="6" t="s">
        <v>157</v>
      </c>
      <c r="E48" s="6" t="s">
        <v>102</v>
      </c>
      <c r="F48" s="6" t="s">
        <v>158</v>
      </c>
    </row>
    <row r="49" customFormat="false" ht="15" hidden="false" customHeight="false" outlineLevel="0" collapsed="false">
      <c r="A49" s="34" t="s">
        <v>198</v>
      </c>
      <c r="B49" s="6" t="s">
        <v>199</v>
      </c>
      <c r="C49" s="6" t="s">
        <v>101</v>
      </c>
      <c r="D49" s="6" t="s">
        <v>153</v>
      </c>
      <c r="E49" s="6" t="s">
        <v>102</v>
      </c>
      <c r="F49" s="6" t="s">
        <v>154</v>
      </c>
    </row>
    <row r="50" customFormat="false" ht="15" hidden="false" customHeight="false" outlineLevel="0" collapsed="false">
      <c r="A50" s="34" t="s">
        <v>583</v>
      </c>
      <c r="B50" s="6" t="s">
        <v>584</v>
      </c>
      <c r="C50" s="6" t="s">
        <v>101</v>
      </c>
      <c r="D50" s="6" t="s">
        <v>155</v>
      </c>
      <c r="E50" s="6" t="s">
        <v>102</v>
      </c>
      <c r="F50" s="6" t="s">
        <v>156</v>
      </c>
    </row>
    <row r="51" customFormat="false" ht="15" hidden="false" customHeight="false" outlineLevel="0" collapsed="false">
      <c r="A51" s="34" t="s">
        <v>200</v>
      </c>
      <c r="B51" s="6" t="s">
        <v>201</v>
      </c>
      <c r="C51" s="6" t="s">
        <v>101</v>
      </c>
      <c r="D51" s="6" t="s">
        <v>137</v>
      </c>
      <c r="E51" s="6" t="s">
        <v>102</v>
      </c>
      <c r="F51" s="6" t="s">
        <v>138</v>
      </c>
    </row>
    <row r="52" customFormat="false" ht="15" hidden="false" customHeight="false" outlineLevel="0" collapsed="false">
      <c r="A52" s="34" t="s">
        <v>585</v>
      </c>
      <c r="B52" s="6" t="s">
        <v>586</v>
      </c>
      <c r="C52" s="6" t="s">
        <v>101</v>
      </c>
      <c r="D52" s="6" t="s">
        <v>141</v>
      </c>
      <c r="E52" s="6" t="s">
        <v>102</v>
      </c>
      <c r="F52" s="6" t="s">
        <v>142</v>
      </c>
    </row>
    <row r="53" customFormat="false" ht="15" hidden="false" customHeight="false" outlineLevel="0" collapsed="false">
      <c r="A53" s="34" t="s">
        <v>587</v>
      </c>
      <c r="B53" s="6" t="s">
        <v>588</v>
      </c>
      <c r="C53" s="6" t="s">
        <v>101</v>
      </c>
      <c r="D53" s="6" t="s">
        <v>161</v>
      </c>
      <c r="E53" s="6" t="s">
        <v>102</v>
      </c>
      <c r="F53" s="6" t="s">
        <v>162</v>
      </c>
    </row>
    <row r="54" customFormat="false" ht="15" hidden="false" customHeight="false" outlineLevel="0" collapsed="false">
      <c r="A54" s="34" t="s">
        <v>589</v>
      </c>
      <c r="B54" s="6" t="s">
        <v>590</v>
      </c>
      <c r="C54" s="6" t="s">
        <v>101</v>
      </c>
      <c r="D54" s="6" t="s">
        <v>155</v>
      </c>
      <c r="E54" s="6" t="s">
        <v>102</v>
      </c>
      <c r="F54" s="6" t="s">
        <v>156</v>
      </c>
    </row>
    <row r="55" customFormat="false" ht="15" hidden="false" customHeight="false" outlineLevel="0" collapsed="false">
      <c r="A55" s="34" t="s">
        <v>591</v>
      </c>
      <c r="B55" s="6" t="s">
        <v>592</v>
      </c>
      <c r="C55" s="6" t="s">
        <v>101</v>
      </c>
      <c r="D55" s="6" t="s">
        <v>157</v>
      </c>
      <c r="E55" s="6" t="s">
        <v>102</v>
      </c>
      <c r="F55" s="6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2026-09-22T21:01:25Z</dcterms:created>
  <dc:creator>openpyxl</dc:creator>
  <dc:description/>
  <dc:language>en-US</dc:language>
  <cp:lastModifiedBy/>
  <dcterms:modified xsi:type="dcterms:W3CDTF">2026-09-22T21:01:25Z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